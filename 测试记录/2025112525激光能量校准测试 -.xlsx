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0"/>
  </bookViews>
  <sheets>
    <sheet name="Sheet1" sheetId="1" r:id="rId1"/>
    <sheet name="脉宽对能量的影响" sheetId="2" r:id="rId2"/>
    <sheet name="Sheet2" sheetId="3" r:id="rId3"/>
    <sheet name="温度对能量输出影响" sheetId="4" r:id="rId4"/>
    <sheet name="dac电流对导通时间影响" sheetId="5" r:id="rId5"/>
    <sheet name="光脉冲冲放电时间" sheetId="6" r:id="rId6"/>
    <sheet name="脉宽与能量" sheetId="7" r:id="rId7"/>
    <sheet name="脉宽与电压" sheetId="8" r:id="rId8"/>
    <sheet name="dac电压与能量" sheetId="9" r:id="rId9"/>
    <sheet name="能量与dac电压" sheetId="10" r:id="rId10"/>
    <sheet name="20251127-有效数据" sheetId="11" r:id="rId11"/>
    <sheet name="Sheet4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<sst xmlns="http://schemas.openxmlformats.org/spreadsheetml/2006/main" count="246" uniqueCount="164">
  <si>
    <t>硬件版本</t>
  </si>
  <si>
    <t>uitra_core_202411</t>
  </si>
  <si>
    <t>MCU型号</t>
  </si>
  <si>
    <t>STM32H723VGT6</t>
  </si>
  <si>
    <t>日期20251031</t>
  </si>
  <si>
    <t>辅助参数</t>
  </si>
  <si>
    <t>光纤直径0.4mm</t>
  </si>
  <si>
    <t>距离约1cm</t>
  </si>
  <si>
    <t>23摄氏度冷却液</t>
  </si>
  <si>
    <t>环境19摄氏度</t>
  </si>
  <si>
    <t>电气参数</t>
  </si>
  <si>
    <t>电压150V</t>
  </si>
  <si>
    <t>130光脉宽</t>
  </si>
  <si>
    <t>10Hz</t>
  </si>
  <si>
    <t>序号</t>
  </si>
  <si>
    <t>DAC值/V</t>
  </si>
  <si>
    <t>测量值/mJ</t>
  </si>
  <si>
    <t>光触发时间/us</t>
  </si>
  <si>
    <t>参考左表</t>
  </si>
  <si>
    <t>脉宽不足（120uS）测量下限不够</t>
  </si>
  <si>
    <t>能量/mJ</t>
  </si>
  <si>
    <t>电脉宽/us</t>
  </si>
  <si>
    <t>光脉宽/us</t>
  </si>
  <si>
    <t>采样波形</t>
  </si>
  <si>
    <t>脉宽不足（仅80uS）300us控制脉冲限制</t>
  </si>
  <si>
    <t>脉宽110us</t>
  </si>
  <si>
    <t>脉宽120us</t>
  </si>
  <si>
    <t>脉宽130us</t>
  </si>
  <si>
    <t>后面粗调</t>
  </si>
  <si>
    <t>23+25</t>
  </si>
  <si>
    <t>脉宽对能量的影响</t>
  </si>
  <si>
    <t>96+135</t>
  </si>
  <si>
    <t>DAC值/v</t>
  </si>
  <si>
    <t>光脉宽/us(含斜坡)</t>
  </si>
  <si>
    <t>能量测量/mj</t>
  </si>
  <si>
    <t>电压对导通时间影响</t>
  </si>
  <si>
    <t>电压/V</t>
  </si>
  <si>
    <t>20HZ</t>
  </si>
  <si>
    <t>控制总脉宽=电脉宽+120</t>
  </si>
  <si>
    <t>光电管采集</t>
  </si>
  <si>
    <t>电脉宽/us（导通+发光）</t>
  </si>
  <si>
    <t>电流波形时间</t>
  </si>
  <si>
    <t>时间差值</t>
  </si>
  <si>
    <t>63+300</t>
  </si>
  <si>
    <t>脉宽+400</t>
  </si>
  <si>
    <t>61+238</t>
  </si>
  <si>
    <t>脉宽+350</t>
  </si>
  <si>
    <t>57+217</t>
  </si>
  <si>
    <t>脉宽+300</t>
  </si>
  <si>
    <t>54+178</t>
  </si>
  <si>
    <t>50+137</t>
  </si>
  <si>
    <t>脉宽+200</t>
  </si>
  <si>
    <t>光电管倍数不足以触发</t>
  </si>
  <si>
    <t>48+118</t>
  </si>
  <si>
    <t>45+104.5</t>
  </si>
  <si>
    <t>脉宽+180</t>
  </si>
  <si>
    <t>43.5+97</t>
  </si>
  <si>
    <t>41.5+88</t>
  </si>
  <si>
    <t>40+80</t>
  </si>
  <si>
    <t>38.5+73</t>
  </si>
  <si>
    <t>38+69</t>
  </si>
  <si>
    <t>35.5+66</t>
  </si>
  <si>
    <t>34.5+63</t>
  </si>
  <si>
    <t>33.5+60.5</t>
  </si>
  <si>
    <t>32+56.5</t>
  </si>
  <si>
    <t>32+54.5</t>
  </si>
  <si>
    <t>31+52.5</t>
  </si>
  <si>
    <t>30.5+50.5</t>
  </si>
  <si>
    <t>29+48.5</t>
  </si>
  <si>
    <t>28+46.5</t>
  </si>
  <si>
    <t>28+44.5</t>
  </si>
  <si>
    <t>脉宽+120</t>
  </si>
  <si>
    <t>27.5+44</t>
  </si>
  <si>
    <t>26.5+43.5</t>
  </si>
  <si>
    <t>27+42.5</t>
  </si>
  <si>
    <t>26.5+40.5</t>
  </si>
  <si>
    <t>25.5+41</t>
  </si>
  <si>
    <t>25.5+39.5</t>
  </si>
  <si>
    <t>25+38.5</t>
  </si>
  <si>
    <t>24.5+37.5</t>
  </si>
  <si>
    <t>23.5+36</t>
  </si>
  <si>
    <t>23.5+35.5</t>
  </si>
  <si>
    <t>23+34</t>
  </si>
  <si>
    <t>23+33.5</t>
  </si>
  <si>
    <t>22.5+33.5</t>
  </si>
  <si>
    <t>22.5+32.5</t>
  </si>
  <si>
    <t>22+31.5</t>
  </si>
  <si>
    <t>21.5+31.5</t>
  </si>
  <si>
    <t>21.5+30.5</t>
  </si>
  <si>
    <t>21+30.5</t>
  </si>
  <si>
    <t>20.5+30</t>
  </si>
  <si>
    <t>−12.5x+82.2</t>
  </si>
  <si>
    <t>导通时间/us</t>
  </si>
  <si>
    <t>放电关断时间/us</t>
  </si>
  <si>
    <t>第2轮</t>
  </si>
  <si>
    <t>断电延迟6.5us</t>
  </si>
  <si>
    <t>恒温25摄氏度</t>
  </si>
  <si>
    <t>到达平台时间/us</t>
  </si>
  <si>
    <t>关断放电时间/us</t>
  </si>
  <si>
    <t>预估</t>
  </si>
  <si>
    <t>脉宽&gt;100us</t>
  </si>
  <si>
    <t>100+2</t>
  </si>
  <si>
    <t>150+3</t>
  </si>
  <si>
    <t>200+4</t>
  </si>
  <si>
    <t>系数</t>
  </si>
  <si>
    <t>G = 0.6367*B - 0.9288</t>
  </si>
  <si>
    <t>开始</t>
  </si>
  <si>
    <t>量程2J</t>
  </si>
  <si>
    <t>表2</t>
  </si>
  <si>
    <t>24摄氏度</t>
  </si>
  <si>
    <t>27摄氏度</t>
  </si>
  <si>
    <t>20摄氏度</t>
  </si>
  <si>
    <t>115us</t>
  </si>
  <si>
    <t>1.8V120us脉宽最低能量30mJ</t>
  </si>
  <si>
    <t>电脉宽/80</t>
  </si>
  <si>
    <t>测量脉宽</t>
  </si>
  <si>
    <t>电流脉宽</t>
  </si>
  <si>
    <t>能量</t>
  </si>
  <si>
    <t>光脉宽=80+(（电流脉宽-电脉宽-关断延时6.5us）/2)</t>
  </si>
  <si>
    <t>估算</t>
  </si>
  <si>
    <t>80+6.5</t>
  </si>
  <si>
    <t>脉宽</t>
  </si>
  <si>
    <t>80us</t>
  </si>
  <si>
    <t>100us</t>
  </si>
  <si>
    <t>150us</t>
  </si>
  <si>
    <t>200us</t>
  </si>
  <si>
    <t>差值</t>
  </si>
  <si>
    <t>参数</t>
  </si>
  <si>
    <t>100功率参数</t>
  </si>
  <si>
    <t>L5:L30=F5:F30-C5:C30</t>
  </si>
  <si>
    <t>换量程</t>
  </si>
  <si>
    <t>能量公式计算</t>
  </si>
  <si>
    <t>调整100us补偿值</t>
  </si>
  <si>
    <t>能量/mj</t>
  </si>
  <si>
    <t>分辨率mj/us</t>
  </si>
  <si>
    <t>DAC/值</t>
  </si>
  <si>
    <t>参考值</t>
  </si>
  <si>
    <t>80us+130</t>
  </si>
  <si>
    <t>下午</t>
  </si>
  <si>
    <t>时间差值/us</t>
  </si>
  <si>
    <t>80us能量</t>
  </si>
  <si>
    <t>160us能量</t>
  </si>
  <si>
    <t>100us能量</t>
  </si>
  <si>
    <t>200us能量</t>
  </si>
  <si>
    <t>初始脉宽</t>
  </si>
  <si>
    <t>原始数据</t>
  </si>
  <si>
    <t>第二轮</t>
  </si>
  <si>
    <t>加6.5</t>
  </si>
  <si>
    <t>光脉宽计算点</t>
  </si>
  <si>
    <t>触发时间/us</t>
  </si>
  <si>
    <t>导通时间</t>
  </si>
  <si>
    <t>光触发时间</t>
  </si>
  <si>
    <t>开始发光</t>
  </si>
  <si>
    <t>电流检测</t>
  </si>
  <si>
    <t>结束脉宽</t>
  </si>
  <si>
    <t>关断</t>
  </si>
  <si>
    <t>电流下降</t>
  </si>
  <si>
    <t>结束电流检测</t>
  </si>
  <si>
    <t>开始出光到电流检测信号</t>
  </si>
  <si>
    <t>20251127晚有效数据不再调整</t>
  </si>
  <si>
    <t>120us</t>
  </si>
  <si>
    <t>能量值mj</t>
  </si>
  <si>
    <t>第二轮数据处理</t>
  </si>
  <si>
    <t>计算脉宽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</si>
</sst>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  <numFmt numFmtId="178" formatCode="0.000_ "/>
  </numFmts>
  <fonts count="23">
    <font>
      <sz val="12"/>
      <name val="宋体"/>
      <charset val="134"/>
    </font>
    <font>
      <sz val="12"/>
      <color rgb="FFFF0000"/>
      <name val="宋体"/>
      <charset val="134"/>
    </font>
    <font>
      <sz val="12"/>
      <name val="Arial"/>
      <family val="2"/>
      <charset val="0"/>
    </font>
    <font>
      <sz val="12"/>
      <color theme="1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7" applyNumberFormat="0" applyAlignment="0" applyProtection="0">
      <alignment vertical="center"/>
    </xf>
    <xf numFmtId="0" fontId="13" fillId="5" borderId="18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6" borderId="19" applyNumberFormat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1" fillId="0" borderId="0" xfId="0" applyFon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1" fillId="0" borderId="0" xfId="0" applyFont="1" applyAlignment="1">
      <alignment vertical="center" wrapText="1"/>
    </xf>
    <xf numFmtId="176" fontId="0" fillId="0" borderId="0" xfId="0" applyNumberFormat="1">
      <alignment vertical="center"/>
    </xf>
    <xf numFmtId="0" fontId="1" fillId="0" borderId="1" xfId="0" applyFont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176" fontId="0" fillId="0" borderId="2" xfId="0" applyNumberFormat="1" applyBorder="1">
      <alignment vertical="center"/>
    </xf>
    <xf numFmtId="177" fontId="0" fillId="0" borderId="0" xfId="0" applyNumberFormat="1">
      <alignment vertical="center"/>
    </xf>
    <xf numFmtId="177" fontId="0" fillId="0" borderId="6" xfId="0" applyNumberFormat="1" applyBorder="1">
      <alignment vertical="center"/>
    </xf>
    <xf numFmtId="0" fontId="0" fillId="2" borderId="6" xfId="0" applyFill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2" borderId="5" xfId="0" applyFill="1" applyBorder="1">
      <alignment vertical="center"/>
    </xf>
    <xf numFmtId="0" fontId="0" fillId="0" borderId="10" xfId="0" applyBorder="1">
      <alignment vertical="center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11" xfId="0" applyBorder="1">
      <alignment vertical="center"/>
    </xf>
    <xf numFmtId="0" fontId="0" fillId="0" borderId="11" xfId="0" applyBorder="1">
      <alignment vertical="center"/>
    </xf>
    <xf numFmtId="0" fontId="0" fillId="2" borderId="11" xfId="0" applyFill="1" applyBorder="1">
      <alignment vertical="center"/>
    </xf>
    <xf numFmtId="0" fontId="0" fillId="2" borderId="11" xfId="0" applyFill="1" applyBorder="1">
      <alignment vertical="center"/>
    </xf>
    <xf numFmtId="0" fontId="1" fillId="0" borderId="11" xfId="0" applyFont="1" applyBorder="1">
      <alignment vertical="center"/>
    </xf>
    <xf numFmtId="0" fontId="0" fillId="0" borderId="3" xfId="0" applyBorder="1">
      <alignment vertical="center"/>
    </xf>
    <xf numFmtId="0" fontId="0" fillId="0" borderId="12" xfId="0" applyBorder="1">
      <alignment vertical="center"/>
    </xf>
    <xf numFmtId="0" fontId="0" fillId="0" borderId="12" xfId="0" applyBorder="1">
      <alignment vertical="center"/>
    </xf>
    <xf numFmtId="0" fontId="0" fillId="0" borderId="12" xfId="0" applyBorder="1">
      <alignment vertical="center"/>
    </xf>
    <xf numFmtId="0" fontId="0" fillId="2" borderId="12" xfId="0" applyFill="1" applyBorder="1">
      <alignment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  <xf numFmtId="0" fontId="0" fillId="2" borderId="7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Sheet2!$M$4:$M$47</c:f>
              <c:numCache>
                <c:formatCode>General</c:formatCode>
                <c:ptCount val="44"/>
                <c:pt idx="0">
                  <c:v>1.48</c:v>
                </c:pt>
                <c:pt idx="1">
                  <c:v>1.528</c:v>
                </c:pt>
                <c:pt idx="2">
                  <c:v>1.6</c:v>
                </c:pt>
                <c:pt idx="3">
                  <c:v>1.65</c:v>
                </c:pt>
                <c:pt idx="4">
                  <c:v>1.705</c:v>
                </c:pt>
                <c:pt idx="5">
                  <c:v>1.75</c:v>
                </c:pt>
                <c:pt idx="6">
                  <c:v>1.8</c:v>
                </c:pt>
                <c:pt idx="7">
                  <c:v>1.865</c:v>
                </c:pt>
                <c:pt idx="8">
                  <c:v>1.92</c:v>
                </c:pt>
                <c:pt idx="9">
                  <c:v>1.98</c:v>
                </c:pt>
                <c:pt idx="10">
                  <c:v>2.063</c:v>
                </c:pt>
                <c:pt idx="11">
                  <c:v>2.128</c:v>
                </c:pt>
                <c:pt idx="12">
                  <c:v>2.21</c:v>
                </c:pt>
                <c:pt idx="13">
                  <c:v>2.24</c:v>
                </c:pt>
                <c:pt idx="14">
                  <c:v>2.29</c:v>
                </c:pt>
                <c:pt idx="15">
                  <c:v>2.35</c:v>
                </c:pt>
                <c:pt idx="16">
                  <c:v>2.4</c:v>
                </c:pt>
                <c:pt idx="17">
                  <c:v>2.46</c:v>
                </c:pt>
                <c:pt idx="18">
                  <c:v>2.52</c:v>
                </c:pt>
                <c:pt idx="19">
                  <c:v>2.63</c:v>
                </c:pt>
                <c:pt idx="20">
                  <c:v>2.703</c:v>
                </c:pt>
                <c:pt idx="21">
                  <c:v>2.7</c:v>
                </c:pt>
                <c:pt idx="22">
                  <c:v>2.8</c:v>
                </c:pt>
                <c:pt idx="23">
                  <c:v>2.822</c:v>
                </c:pt>
                <c:pt idx="24">
                  <c:v>2.843</c:v>
                </c:pt>
                <c:pt idx="25">
                  <c:v>2.903</c:v>
                </c:pt>
                <c:pt idx="26">
                  <c:v>2.975</c:v>
                </c:pt>
                <c:pt idx="27">
                  <c:v>3.028</c:v>
                </c:pt>
                <c:pt idx="28">
                  <c:v>3.078</c:v>
                </c:pt>
                <c:pt idx="29">
                  <c:v>3.083</c:v>
                </c:pt>
                <c:pt idx="30">
                  <c:v>3.175</c:v>
                </c:pt>
                <c:pt idx="31">
                  <c:v>3.225</c:v>
                </c:pt>
                <c:pt idx="32">
                  <c:v>2.283</c:v>
                </c:pt>
                <c:pt idx="33">
                  <c:v>3.353</c:v>
                </c:pt>
                <c:pt idx="34">
                  <c:v>3.398</c:v>
                </c:pt>
                <c:pt idx="35">
                  <c:v>3.453</c:v>
                </c:pt>
                <c:pt idx="36">
                  <c:v>3.518</c:v>
                </c:pt>
                <c:pt idx="37">
                  <c:v>3.583</c:v>
                </c:pt>
                <c:pt idx="38">
                  <c:v>3.123</c:v>
                </c:pt>
                <c:pt idx="39">
                  <c:v>3.693</c:v>
                </c:pt>
                <c:pt idx="40">
                  <c:v>3.7</c:v>
                </c:pt>
                <c:pt idx="41">
                  <c:v>3.8</c:v>
                </c:pt>
                <c:pt idx="42">
                  <c:v>3.8</c:v>
                </c:pt>
                <c:pt idx="43">
                  <c:v>3.8</c:v>
                </c:pt>
              </c:numCache>
            </c:numRef>
          </c:val>
          <c:smooth val="0"/>
        </c:ser>
        <c:ser>
          <c:idx val="1"/>
          <c:order val="1"/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Sheet2!$N$4:$N$47</c:f>
              <c:numCache>
                <c:formatCode>General</c:formatCode>
                <c:ptCount val="44"/>
                <c:pt idx="0">
                  <c:v>63</c:v>
                </c:pt>
                <c:pt idx="1">
                  <c:v>61</c:v>
                </c:pt>
                <c:pt idx="2">
                  <c:v>57</c:v>
                </c:pt>
                <c:pt idx="3">
                  <c:v>54</c:v>
                </c:pt>
                <c:pt idx="4">
                  <c:v>50</c:v>
                </c:pt>
                <c:pt idx="5">
                  <c:v>48</c:v>
                </c:pt>
                <c:pt idx="6">
                  <c:v>45</c:v>
                </c:pt>
                <c:pt idx="7">
                  <c:v>43.5</c:v>
                </c:pt>
                <c:pt idx="8">
                  <c:v>41.5</c:v>
                </c:pt>
                <c:pt idx="9">
                  <c:v>40</c:v>
                </c:pt>
                <c:pt idx="10">
                  <c:v>38.5</c:v>
                </c:pt>
                <c:pt idx="11">
                  <c:v>38</c:v>
                </c:pt>
                <c:pt idx="12">
                  <c:v>35.5</c:v>
                </c:pt>
                <c:pt idx="13">
                  <c:v>34.5</c:v>
                </c:pt>
                <c:pt idx="14">
                  <c:v>33.5</c:v>
                </c:pt>
                <c:pt idx="15">
                  <c:v>32</c:v>
                </c:pt>
                <c:pt idx="16">
                  <c:v>32</c:v>
                </c:pt>
                <c:pt idx="17">
                  <c:v>31</c:v>
                </c:pt>
                <c:pt idx="18">
                  <c:v>30.5</c:v>
                </c:pt>
                <c:pt idx="19">
                  <c:v>29</c:v>
                </c:pt>
                <c:pt idx="20">
                  <c:v>28</c:v>
                </c:pt>
                <c:pt idx="21">
                  <c:v>28</c:v>
                </c:pt>
                <c:pt idx="22">
                  <c:v>27.5</c:v>
                </c:pt>
                <c:pt idx="23">
                  <c:v>26.5</c:v>
                </c:pt>
                <c:pt idx="24">
                  <c:v>27</c:v>
                </c:pt>
                <c:pt idx="25">
                  <c:v>26.5</c:v>
                </c:pt>
                <c:pt idx="26">
                  <c:v>25.5</c:v>
                </c:pt>
                <c:pt idx="27">
                  <c:v>25.5</c:v>
                </c:pt>
                <c:pt idx="28">
                  <c:v>25</c:v>
                </c:pt>
                <c:pt idx="29">
                  <c:v>24.5</c:v>
                </c:pt>
                <c:pt idx="30">
                  <c:v>23.5</c:v>
                </c:pt>
                <c:pt idx="31">
                  <c:v>23.5</c:v>
                </c:pt>
                <c:pt idx="32">
                  <c:v>23</c:v>
                </c:pt>
                <c:pt idx="33">
                  <c:v>23</c:v>
                </c:pt>
                <c:pt idx="34">
                  <c:v>22.5</c:v>
                </c:pt>
                <c:pt idx="35">
                  <c:v>22.5</c:v>
                </c:pt>
                <c:pt idx="36">
                  <c:v>22</c:v>
                </c:pt>
                <c:pt idx="37">
                  <c:v>21.5</c:v>
                </c:pt>
                <c:pt idx="38">
                  <c:v>21.5</c:v>
                </c:pt>
                <c:pt idx="39">
                  <c:v>21</c:v>
                </c:pt>
                <c:pt idx="40">
                  <c:v>21</c:v>
                </c:pt>
                <c:pt idx="41">
                  <c:v>20.5</c:v>
                </c:pt>
                <c:pt idx="42">
                  <c:v>20.5</c:v>
                </c:pt>
                <c:pt idx="43">
                  <c:v>20.5</c:v>
                </c:pt>
              </c:numCache>
            </c:numRef>
          </c:val>
          <c:smooth val="0"/>
        </c:ser>
        <c:ser>
          <c:idx val="2"/>
          <c:order val="2"/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Sheet2!$O$4:$O$47</c:f>
              <c:numCache>
                <c:formatCode>General</c:formatCode>
                <c:ptCount val="44"/>
                <c:pt idx="0">
                  <c:v>300</c:v>
                </c:pt>
                <c:pt idx="1">
                  <c:v>238</c:v>
                </c:pt>
                <c:pt idx="2">
                  <c:v>217</c:v>
                </c:pt>
                <c:pt idx="3">
                  <c:v>178</c:v>
                </c:pt>
                <c:pt idx="4">
                  <c:v>137</c:v>
                </c:pt>
                <c:pt idx="5">
                  <c:v>118</c:v>
                </c:pt>
                <c:pt idx="6">
                  <c:v>104.5</c:v>
                </c:pt>
                <c:pt idx="7">
                  <c:v>97</c:v>
                </c:pt>
                <c:pt idx="8">
                  <c:v>88</c:v>
                </c:pt>
                <c:pt idx="9">
                  <c:v>80</c:v>
                </c:pt>
                <c:pt idx="10">
                  <c:v>73</c:v>
                </c:pt>
                <c:pt idx="11">
                  <c:v>69</c:v>
                </c:pt>
                <c:pt idx="12">
                  <c:v>66</c:v>
                </c:pt>
                <c:pt idx="13">
                  <c:v>63</c:v>
                </c:pt>
                <c:pt idx="14">
                  <c:v>60.5</c:v>
                </c:pt>
                <c:pt idx="15">
                  <c:v>56.5</c:v>
                </c:pt>
                <c:pt idx="16">
                  <c:v>54.5</c:v>
                </c:pt>
                <c:pt idx="17">
                  <c:v>52.5</c:v>
                </c:pt>
                <c:pt idx="18">
                  <c:v>50.5</c:v>
                </c:pt>
                <c:pt idx="19">
                  <c:v>48.5</c:v>
                </c:pt>
                <c:pt idx="20">
                  <c:v>46.5</c:v>
                </c:pt>
                <c:pt idx="21">
                  <c:v>44.5</c:v>
                </c:pt>
                <c:pt idx="22">
                  <c:v>44</c:v>
                </c:pt>
                <c:pt idx="23">
                  <c:v>43.5</c:v>
                </c:pt>
                <c:pt idx="24">
                  <c:v>42.5</c:v>
                </c:pt>
                <c:pt idx="25">
                  <c:v>40.5</c:v>
                </c:pt>
                <c:pt idx="26">
                  <c:v>41</c:v>
                </c:pt>
                <c:pt idx="27">
                  <c:v>39.5</c:v>
                </c:pt>
                <c:pt idx="28">
                  <c:v>38.5</c:v>
                </c:pt>
                <c:pt idx="29">
                  <c:v>37.5</c:v>
                </c:pt>
                <c:pt idx="30">
                  <c:v>36</c:v>
                </c:pt>
                <c:pt idx="31">
                  <c:v>35.5</c:v>
                </c:pt>
                <c:pt idx="32">
                  <c:v>34</c:v>
                </c:pt>
                <c:pt idx="33">
                  <c:v>33.5</c:v>
                </c:pt>
                <c:pt idx="34">
                  <c:v>33.5</c:v>
                </c:pt>
                <c:pt idx="35">
                  <c:v>32.5</c:v>
                </c:pt>
                <c:pt idx="36">
                  <c:v>31.5</c:v>
                </c:pt>
                <c:pt idx="37">
                  <c:v>31.5</c:v>
                </c:pt>
                <c:pt idx="38">
                  <c:v>30.5</c:v>
                </c:pt>
                <c:pt idx="39">
                  <c:v>30.5</c:v>
                </c:pt>
                <c:pt idx="40">
                  <c:v>30.5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</c:numCache>
            </c:numRef>
          </c:val>
          <c:smooth val="0"/>
        </c:ser>
        <c:ser>
          <c:idx val="3"/>
          <c:order val="3"/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Sheet2!$P$4:$P$47</c:f>
              <c:numCache>
                <c:formatCode>General</c:formatCode>
                <c:ptCount val="44"/>
                <c:pt idx="0">
                  <c:v>363</c:v>
                </c:pt>
                <c:pt idx="1">
                  <c:v>299</c:v>
                </c:pt>
                <c:pt idx="2">
                  <c:v>274</c:v>
                </c:pt>
                <c:pt idx="3">
                  <c:v>232</c:v>
                </c:pt>
                <c:pt idx="4">
                  <c:v>187</c:v>
                </c:pt>
                <c:pt idx="5">
                  <c:v>166</c:v>
                </c:pt>
                <c:pt idx="6">
                  <c:v>149.5</c:v>
                </c:pt>
                <c:pt idx="7">
                  <c:v>140.5</c:v>
                </c:pt>
                <c:pt idx="8">
                  <c:v>129.5</c:v>
                </c:pt>
                <c:pt idx="9">
                  <c:v>120</c:v>
                </c:pt>
                <c:pt idx="10">
                  <c:v>111.5</c:v>
                </c:pt>
                <c:pt idx="11">
                  <c:v>107</c:v>
                </c:pt>
                <c:pt idx="12">
                  <c:v>101.5</c:v>
                </c:pt>
                <c:pt idx="13">
                  <c:v>97.5</c:v>
                </c:pt>
                <c:pt idx="14">
                  <c:v>94</c:v>
                </c:pt>
                <c:pt idx="15">
                  <c:v>88.5</c:v>
                </c:pt>
                <c:pt idx="16">
                  <c:v>86.5</c:v>
                </c:pt>
                <c:pt idx="17">
                  <c:v>83.5</c:v>
                </c:pt>
                <c:pt idx="18">
                  <c:v>81</c:v>
                </c:pt>
                <c:pt idx="19">
                  <c:v>77.5</c:v>
                </c:pt>
                <c:pt idx="20">
                  <c:v>74.5</c:v>
                </c:pt>
                <c:pt idx="21">
                  <c:v>72.5</c:v>
                </c:pt>
                <c:pt idx="22">
                  <c:v>71.5</c:v>
                </c:pt>
                <c:pt idx="23">
                  <c:v>70</c:v>
                </c:pt>
                <c:pt idx="24">
                  <c:v>69.5</c:v>
                </c:pt>
                <c:pt idx="25">
                  <c:v>67</c:v>
                </c:pt>
                <c:pt idx="26">
                  <c:v>66.5</c:v>
                </c:pt>
                <c:pt idx="27">
                  <c:v>65</c:v>
                </c:pt>
                <c:pt idx="28">
                  <c:v>63.5</c:v>
                </c:pt>
                <c:pt idx="29">
                  <c:v>62</c:v>
                </c:pt>
                <c:pt idx="30">
                  <c:v>59.5</c:v>
                </c:pt>
                <c:pt idx="31">
                  <c:v>59</c:v>
                </c:pt>
                <c:pt idx="32">
                  <c:v>57</c:v>
                </c:pt>
                <c:pt idx="33">
                  <c:v>56.5</c:v>
                </c:pt>
                <c:pt idx="34">
                  <c:v>56</c:v>
                </c:pt>
                <c:pt idx="35">
                  <c:v>55</c:v>
                </c:pt>
                <c:pt idx="36">
                  <c:v>53.5</c:v>
                </c:pt>
                <c:pt idx="37">
                  <c:v>53</c:v>
                </c:pt>
                <c:pt idx="38">
                  <c:v>52</c:v>
                </c:pt>
                <c:pt idx="39">
                  <c:v>51.5</c:v>
                </c:pt>
                <c:pt idx="40">
                  <c:v>51.5</c:v>
                </c:pt>
                <c:pt idx="41">
                  <c:v>50.5</c:v>
                </c:pt>
                <c:pt idx="42">
                  <c:v>50.5</c:v>
                </c:pt>
                <c:pt idx="43">
                  <c:v>50.5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63137952"/>
        <c:axId val="759426771"/>
      </c:lineChart>
      <c:catAx>
        <c:axId val="8631379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9426771"/>
        <c:crosses val="autoZero"/>
        <c:auto val="1"/>
        <c:lblAlgn val="ctr"/>
        <c:lblOffset val="100"/>
        <c:noMultiLvlLbl val="0"/>
      </c:catAx>
      <c:valAx>
        <c:axId val="7594267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3137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wrap="square"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239395</xdr:colOff>
      <xdr:row>49</xdr:row>
      <xdr:rowOff>158750</xdr:rowOff>
    </xdr:from>
    <xdr:to>
      <xdr:col>15</xdr:col>
      <xdr:colOff>668020</xdr:colOff>
      <xdr:row>65</xdr:row>
      <xdr:rowOff>6985</xdr:rowOff>
    </xdr:to>
    <xdr:graphicFrame>
      <xdr:nvGraphicFramePr>
        <xdr:cNvPr id="1572" name="图表 1"/>
        <xdr:cNvGraphicFramePr/>
      </xdr:nvGraphicFramePr>
      <xdr:xfrm>
        <a:off x="8114665" y="9026525"/>
        <a:ext cx="4826635" cy="27438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01"/>
  <sheetViews>
    <sheetView zoomScale="190" zoomScaleNormal="190" topLeftCell="A14" workbookViewId="0">
      <selection activeCell="D53" sqref="D53"/>
    </sheetView>
  </sheetViews>
  <sheetFormatPr defaultColWidth="9" defaultRowHeight="14.25"/>
  <cols>
    <col min="1" max="1" width="17.3666666666667" customWidth="1"/>
    <col min="2" max="3" width="10.525" customWidth="1"/>
    <col min="4" max="4" width="21.05" customWidth="1"/>
    <col min="5" max="5" width="24.675" customWidth="1"/>
    <col min="6" max="6" width="9.075" customWidth="1"/>
    <col min="7" max="7" width="9.6" customWidth="1"/>
    <col min="8" max="8" width="10.1916666666667" customWidth="1"/>
    <col min="9" max="9" width="10.7166666666667" customWidth="1"/>
  </cols>
  <sheetData>
    <row r="2" spans="1:11">
      <c r="A2" s="35" t="s">
        <v>0</v>
      </c>
      <c r="B2" s="36" t="s">
        <v>1</v>
      </c>
      <c r="C2" s="36"/>
      <c r="D2" s="36"/>
      <c r="E2" s="36"/>
      <c r="F2" s="37"/>
    </row>
    <row r="3" spans="1:11">
      <c r="A3" s="35" t="s">
        <v>2</v>
      </c>
      <c r="B3" s="36" t="s">
        <v>3</v>
      </c>
      <c r="C3" s="36"/>
      <c r="D3" s="36"/>
      <c r="E3" s="36"/>
      <c r="F3" s="37"/>
    </row>
    <row r="5" spans="1:11">
      <c r="A5" s="38" t="s">
        <v>4</v>
      </c>
      <c r="B5" s="25"/>
      <c r="C5" s="25"/>
      <c r="D5" s="25"/>
      <c r="E5" s="2"/>
    </row>
    <row r="6" spans="1:11">
      <c r="A6" s="13" t="s">
        <v>5</v>
      </c>
      <c r="B6" s="13" t="s">
        <v>6</v>
      </c>
      <c r="C6" s="13" t="s">
        <v>7</v>
      </c>
      <c r="D6" s="13" t="s">
        <v>8</v>
      </c>
      <c r="E6" s="3" t="s">
        <v>9</v>
      </c>
    </row>
    <row r="7" spans="1:11">
      <c r="A7" s="13" t="s">
        <v>10</v>
      </c>
      <c r="B7" s="13" t="s">
        <v>11</v>
      </c>
      <c r="C7" s="13"/>
      <c r="D7" s="13" t="s">
        <v>12</v>
      </c>
      <c r="E7" s="3" t="s">
        <v>13</v>
      </c>
    </row>
    <row r="8" spans="1:11">
      <c r="A8" s="39" t="s">
        <v>14</v>
      </c>
      <c r="B8" s="17" t="s">
        <v>15</v>
      </c>
      <c r="C8" s="17" t="s">
        <v>16</v>
      </c>
      <c r="D8" s="6" t="s">
        <v>17</v>
      </c>
      <c r="F8" t="s">
        <v>18</v>
      </c>
      <c r="I8">
        <v>130</v>
      </c>
    </row>
    <row r="9" spans="1:11">
      <c r="A9" s="39">
        <v>1</v>
      </c>
      <c r="B9" s="17">
        <v>1.6</v>
      </c>
      <c r="C9" s="17">
        <v>6.7</v>
      </c>
      <c r="D9" s="6">
        <v>295</v>
      </c>
      <c r="E9" s="40" t="s">
        <v>19</v>
      </c>
      <c r="F9" s="1" t="s">
        <v>20</v>
      </c>
      <c r="G9" s="1" t="s">
        <v>15</v>
      </c>
      <c r="H9" s="1" t="s">
        <v>16</v>
      </c>
      <c r="I9" s="1" t="s">
        <v>21</v>
      </c>
      <c r="J9" t="s">
        <v>22</v>
      </c>
      <c r="K9" t="s">
        <v>23</v>
      </c>
    </row>
    <row r="10" spans="1:11">
      <c r="A10" s="39">
        <v>2</v>
      </c>
      <c r="B10" s="17">
        <v>1.65</v>
      </c>
      <c r="C10" s="17">
        <v>12.7</v>
      </c>
      <c r="D10" s="6">
        <v>234</v>
      </c>
      <c r="E10" s="40" t="s">
        <v>19</v>
      </c>
    </row>
    <row r="11" spans="1:11">
      <c r="A11" s="39">
        <v>3</v>
      </c>
      <c r="B11" s="17">
        <v>1.7</v>
      </c>
      <c r="C11" s="17">
        <v>20.2</v>
      </c>
      <c r="D11" s="6">
        <v>228</v>
      </c>
      <c r="E11" s="4" t="s">
        <v>24</v>
      </c>
      <c r="F11">
        <v>20</v>
      </c>
      <c r="G11">
        <v>1.7</v>
      </c>
      <c r="H11">
        <v>20</v>
      </c>
    </row>
    <row r="12" spans="1:11">
      <c r="A12" s="39">
        <v>4</v>
      </c>
      <c r="B12" s="17">
        <v>1.75</v>
      </c>
      <c r="C12" s="17">
        <v>24.9</v>
      </c>
      <c r="D12" s="6">
        <v>186</v>
      </c>
      <c r="E12" t="s">
        <v>25</v>
      </c>
      <c r="F12">
        <v>25</v>
      </c>
      <c r="G12">
        <v>1.75</v>
      </c>
    </row>
    <row r="13" spans="1:11">
      <c r="A13" s="39">
        <v>5</v>
      </c>
      <c r="B13" s="17">
        <v>1.8</v>
      </c>
      <c r="C13" s="17">
        <v>33.2</v>
      </c>
      <c r="D13" s="6">
        <v>170</v>
      </c>
      <c r="E13" t="s">
        <v>26</v>
      </c>
      <c r="F13">
        <v>30</v>
      </c>
      <c r="G13">
        <v>1.751</v>
      </c>
      <c r="H13" s="1">
        <v>30.7</v>
      </c>
      <c r="I13">
        <v>170</v>
      </c>
      <c r="J13">
        <v>130</v>
      </c>
    </row>
    <row r="14" spans="1:11">
      <c r="A14" s="39">
        <v>6</v>
      </c>
      <c r="B14" s="17">
        <v>1.85</v>
      </c>
      <c r="C14" s="17">
        <v>38.5</v>
      </c>
      <c r="D14" s="6">
        <v>162.5</v>
      </c>
      <c r="E14" t="s">
        <v>27</v>
      </c>
      <c r="F14">
        <v>35</v>
      </c>
      <c r="G14">
        <v>1.789</v>
      </c>
      <c r="H14">
        <v>35.1</v>
      </c>
      <c r="I14">
        <v>168</v>
      </c>
      <c r="J14">
        <v>130</v>
      </c>
      <c r="K14">
        <v>145</v>
      </c>
    </row>
    <row r="15" spans="1:11">
      <c r="A15" s="39">
        <v>7</v>
      </c>
      <c r="B15" s="17">
        <v>1.9</v>
      </c>
      <c r="C15" s="17">
        <v>45.8</v>
      </c>
      <c r="D15" s="6">
        <v>142</v>
      </c>
      <c r="F15">
        <v>40</v>
      </c>
      <c r="G15">
        <v>1.865</v>
      </c>
      <c r="H15">
        <v>40.1</v>
      </c>
      <c r="I15">
        <v>145</v>
      </c>
      <c r="J15">
        <v>130</v>
      </c>
      <c r="K15">
        <v>150</v>
      </c>
    </row>
    <row r="16" spans="1:11">
      <c r="A16" s="39">
        <v>8</v>
      </c>
      <c r="B16" s="17">
        <v>1.95</v>
      </c>
      <c r="C16" s="17">
        <v>50</v>
      </c>
      <c r="D16" s="6">
        <v>140.5</v>
      </c>
      <c r="F16">
        <v>45</v>
      </c>
      <c r="G16">
        <v>1.884</v>
      </c>
      <c r="H16">
        <v>44.7</v>
      </c>
      <c r="I16">
        <v>144</v>
      </c>
      <c r="J16">
        <v>130</v>
      </c>
      <c r="K16">
        <v>150</v>
      </c>
    </row>
    <row r="17" spans="1:11">
      <c r="A17" s="39">
        <v>9</v>
      </c>
      <c r="B17" s="13">
        <v>2</v>
      </c>
      <c r="C17" s="13">
        <v>54</v>
      </c>
      <c r="D17" s="3">
        <v>130</v>
      </c>
      <c r="F17">
        <v>50</v>
      </c>
      <c r="G17">
        <v>1.939</v>
      </c>
      <c r="H17">
        <v>49.9</v>
      </c>
      <c r="I17">
        <v>139</v>
      </c>
      <c r="J17">
        <v>130</v>
      </c>
      <c r="K17">
        <v>155</v>
      </c>
    </row>
    <row r="18" spans="1:11">
      <c r="A18" s="39">
        <v>10</v>
      </c>
      <c r="B18" s="13">
        <v>2.05</v>
      </c>
      <c r="C18" s="13">
        <v>56.7</v>
      </c>
      <c r="D18" s="3">
        <v>118</v>
      </c>
      <c r="F18">
        <v>55</v>
      </c>
      <c r="G18" s="41">
        <v>1.989</v>
      </c>
      <c r="H18">
        <v>55.6</v>
      </c>
      <c r="I18">
        <v>131</v>
      </c>
      <c r="J18">
        <v>130</v>
      </c>
      <c r="K18">
        <v>155</v>
      </c>
    </row>
    <row r="19" spans="1:11">
      <c r="A19" s="39">
        <v>11</v>
      </c>
      <c r="B19" s="13">
        <v>2.1</v>
      </c>
      <c r="C19" s="13">
        <v>60.6</v>
      </c>
      <c r="D19" s="3">
        <v>114.5</v>
      </c>
      <c r="F19">
        <v>60</v>
      </c>
      <c r="G19">
        <v>2.057</v>
      </c>
      <c r="H19">
        <v>60.2</v>
      </c>
      <c r="I19">
        <v>118</v>
      </c>
      <c r="J19">
        <v>130</v>
      </c>
      <c r="K19">
        <v>155</v>
      </c>
    </row>
    <row r="20" spans="1:11">
      <c r="A20" s="39">
        <v>12</v>
      </c>
      <c r="B20" s="13">
        <v>2.15</v>
      </c>
      <c r="C20" s="13">
        <v>65.2</v>
      </c>
      <c r="D20" s="3">
        <v>106</v>
      </c>
      <c r="F20">
        <v>65</v>
      </c>
      <c r="G20">
        <v>2.119</v>
      </c>
      <c r="H20">
        <v>65.4</v>
      </c>
      <c r="I20">
        <v>110</v>
      </c>
      <c r="J20">
        <v>130</v>
      </c>
      <c r="K20">
        <v>155</v>
      </c>
    </row>
    <row r="21" spans="1:11">
      <c r="A21" s="39">
        <v>13</v>
      </c>
      <c r="B21" s="13">
        <v>2.2</v>
      </c>
      <c r="C21" s="13">
        <v>70.4</v>
      </c>
      <c r="D21" s="3">
        <v>100.5</v>
      </c>
      <c r="F21">
        <v>70</v>
      </c>
      <c r="G21">
        <v>2.205</v>
      </c>
      <c r="H21">
        <v>70.4</v>
      </c>
      <c r="I21">
        <v>102</v>
      </c>
      <c r="J21">
        <v>130</v>
      </c>
      <c r="K21">
        <v>155</v>
      </c>
    </row>
    <row r="22" spans="1:11">
      <c r="A22" s="39">
        <v>14</v>
      </c>
      <c r="B22" s="13">
        <v>2.25</v>
      </c>
      <c r="C22" s="13">
        <v>75.5</v>
      </c>
      <c r="D22" s="3">
        <v>98.5</v>
      </c>
      <c r="F22">
        <v>75</v>
      </c>
      <c r="G22">
        <v>2.245</v>
      </c>
      <c r="H22">
        <v>75.8</v>
      </c>
      <c r="I22">
        <v>95</v>
      </c>
      <c r="J22">
        <v>130</v>
      </c>
      <c r="K22">
        <v>155</v>
      </c>
    </row>
    <row r="23" spans="1:11">
      <c r="A23" s="39">
        <v>15</v>
      </c>
      <c r="B23" s="13">
        <v>2.3</v>
      </c>
      <c r="C23" s="13">
        <v>80.3</v>
      </c>
      <c r="D23" s="3">
        <v>96</v>
      </c>
      <c r="F23">
        <v>80</v>
      </c>
      <c r="G23">
        <v>2.295</v>
      </c>
      <c r="H23">
        <v>80.5</v>
      </c>
      <c r="I23">
        <v>90</v>
      </c>
      <c r="J23">
        <v>130</v>
      </c>
      <c r="K23">
        <v>150</v>
      </c>
    </row>
    <row r="24" spans="1:11">
      <c r="A24" s="39">
        <v>16</v>
      </c>
      <c r="B24" s="13">
        <v>2.35</v>
      </c>
      <c r="C24" s="13">
        <v>86.2</v>
      </c>
      <c r="D24" s="3">
        <v>89</v>
      </c>
      <c r="F24">
        <v>85</v>
      </c>
      <c r="G24">
        <v>2.365</v>
      </c>
      <c r="H24">
        <v>85.2</v>
      </c>
      <c r="I24">
        <v>86</v>
      </c>
      <c r="J24">
        <v>130</v>
      </c>
      <c r="K24">
        <v>152</v>
      </c>
    </row>
    <row r="25" spans="1:11">
      <c r="A25" s="39">
        <v>17</v>
      </c>
      <c r="B25" s="13">
        <v>2.4</v>
      </c>
      <c r="C25" s="13">
        <v>90.1</v>
      </c>
      <c r="D25" s="3">
        <v>87</v>
      </c>
      <c r="F25">
        <v>90</v>
      </c>
      <c r="G25">
        <v>2.447</v>
      </c>
      <c r="H25">
        <v>89.9</v>
      </c>
      <c r="I25">
        <v>83</v>
      </c>
      <c r="J25">
        <v>130</v>
      </c>
      <c r="K25">
        <v>152</v>
      </c>
    </row>
    <row r="26" spans="1:11">
      <c r="A26" s="39">
        <v>18</v>
      </c>
      <c r="B26" s="18">
        <v>2.45</v>
      </c>
      <c r="C26" s="18">
        <v>93.7</v>
      </c>
      <c r="D26" s="19">
        <v>84.5</v>
      </c>
      <c r="F26">
        <v>95</v>
      </c>
      <c r="G26">
        <v>2.475</v>
      </c>
      <c r="H26">
        <v>95.7</v>
      </c>
      <c r="I26">
        <v>80</v>
      </c>
      <c r="J26">
        <v>130</v>
      </c>
      <c r="K26">
        <v>155</v>
      </c>
    </row>
    <row r="27" spans="1:11">
      <c r="A27" s="39">
        <v>19</v>
      </c>
      <c r="B27" s="18">
        <v>2.5</v>
      </c>
      <c r="C27" s="18">
        <v>96.8</v>
      </c>
      <c r="D27" s="18">
        <v>82</v>
      </c>
      <c r="F27">
        <v>100</v>
      </c>
      <c r="G27">
        <v>2.547</v>
      </c>
      <c r="H27">
        <v>100.5</v>
      </c>
      <c r="I27">
        <v>77</v>
      </c>
      <c r="J27">
        <v>130</v>
      </c>
      <c r="K27">
        <v>154</v>
      </c>
    </row>
    <row r="28" spans="1:11">
      <c r="A28" s="39">
        <v>20</v>
      </c>
      <c r="B28" s="18">
        <v>2.55</v>
      </c>
      <c r="C28" s="18">
        <v>103.1</v>
      </c>
      <c r="D28" s="18">
        <v>79</v>
      </c>
      <c r="F28">
        <v>105</v>
      </c>
      <c r="G28">
        <v>2.587</v>
      </c>
      <c r="H28">
        <v>105.8</v>
      </c>
      <c r="I28">
        <v>75</v>
      </c>
      <c r="J28">
        <v>130</v>
      </c>
      <c r="K28">
        <v>155</v>
      </c>
    </row>
    <row r="29" spans="1:11">
      <c r="A29" s="39">
        <v>21</v>
      </c>
      <c r="B29" s="18">
        <v>2.6</v>
      </c>
      <c r="C29" s="18">
        <v>108.6</v>
      </c>
      <c r="D29" s="18">
        <v>77</v>
      </c>
      <c r="F29">
        <v>110</v>
      </c>
      <c r="G29" s="41">
        <v>2.662</v>
      </c>
      <c r="H29">
        <v>110.3</v>
      </c>
      <c r="I29">
        <v>73</v>
      </c>
      <c r="J29">
        <v>130</v>
      </c>
      <c r="K29">
        <v>152</v>
      </c>
    </row>
    <row r="30" spans="1:11">
      <c r="A30" s="39">
        <v>22</v>
      </c>
      <c r="B30" s="18">
        <v>2.65</v>
      </c>
      <c r="C30" s="18">
        <v>117.6</v>
      </c>
      <c r="D30" s="18">
        <v>75</v>
      </c>
      <c r="F30">
        <v>115</v>
      </c>
      <c r="G30">
        <v>2.691</v>
      </c>
      <c r="H30">
        <v>115.1</v>
      </c>
      <c r="I30">
        <v>70</v>
      </c>
      <c r="J30">
        <v>130</v>
      </c>
      <c r="K30">
        <v>155</v>
      </c>
    </row>
    <row r="31" spans="1:11">
      <c r="A31" s="39">
        <v>23</v>
      </c>
      <c r="B31" s="18">
        <v>2.7</v>
      </c>
      <c r="C31" s="18">
        <v>121</v>
      </c>
      <c r="D31" s="18">
        <v>74.5</v>
      </c>
      <c r="F31">
        <v>120</v>
      </c>
      <c r="G31" s="41">
        <v>2.785</v>
      </c>
      <c r="H31">
        <v>120.4</v>
      </c>
      <c r="I31">
        <v>67</v>
      </c>
      <c r="J31">
        <v>130</v>
      </c>
      <c r="K31">
        <v>153</v>
      </c>
    </row>
    <row r="32" spans="1:11">
      <c r="A32" s="39">
        <v>24</v>
      </c>
      <c r="B32" s="18">
        <v>2.75</v>
      </c>
      <c r="C32" s="18">
        <v>124</v>
      </c>
      <c r="D32" s="18">
        <v>71.5</v>
      </c>
      <c r="F32">
        <v>125</v>
      </c>
      <c r="G32">
        <v>2.828</v>
      </c>
      <c r="H32">
        <v>125.6</v>
      </c>
      <c r="I32">
        <v>66</v>
      </c>
      <c r="J32">
        <v>130</v>
      </c>
      <c r="K32">
        <v>155</v>
      </c>
    </row>
    <row r="33" spans="1:12">
      <c r="A33" s="39">
        <v>25</v>
      </c>
      <c r="B33" s="18">
        <v>2.8</v>
      </c>
      <c r="C33" s="18">
        <v>126.7</v>
      </c>
      <c r="D33" s="18">
        <v>70</v>
      </c>
      <c r="F33">
        <v>130</v>
      </c>
      <c r="G33">
        <v>2.828</v>
      </c>
      <c r="H33">
        <v>129.6</v>
      </c>
      <c r="I33">
        <v>65</v>
      </c>
      <c r="J33">
        <v>130</v>
      </c>
      <c r="K33">
        <v>153</v>
      </c>
    </row>
    <row r="34" spans="1:12">
      <c r="A34" s="39">
        <v>26</v>
      </c>
      <c r="B34" s="18">
        <v>2.85</v>
      </c>
      <c r="C34" s="18">
        <v>135.1</v>
      </c>
      <c r="D34" s="18">
        <v>68.5</v>
      </c>
      <c r="F34">
        <v>135</v>
      </c>
      <c r="G34">
        <v>2.9</v>
      </c>
      <c r="H34">
        <v>135</v>
      </c>
      <c r="I34">
        <v>62</v>
      </c>
      <c r="J34">
        <v>130</v>
      </c>
      <c r="K34">
        <v>150</v>
      </c>
      <c r="L34" s="1" t="s">
        <v>28</v>
      </c>
    </row>
    <row r="35" spans="1:12">
      <c r="A35" s="39">
        <v>27</v>
      </c>
      <c r="B35" s="18">
        <v>2.9</v>
      </c>
      <c r="C35" s="18">
        <v>140.2</v>
      </c>
      <c r="D35" s="18">
        <v>66</v>
      </c>
      <c r="F35">
        <v>140</v>
      </c>
      <c r="I35" t="s">
        <v>29</v>
      </c>
    </row>
    <row r="36" spans="1:12">
      <c r="A36" s="39">
        <v>28</v>
      </c>
      <c r="B36" s="18">
        <v>2.95</v>
      </c>
      <c r="C36" s="18">
        <v>144.5</v>
      </c>
      <c r="D36" s="18">
        <v>65.5</v>
      </c>
      <c r="F36">
        <v>145</v>
      </c>
    </row>
    <row r="37" spans="1:12">
      <c r="A37" s="39">
        <v>29</v>
      </c>
      <c r="B37" s="18">
        <v>3</v>
      </c>
      <c r="C37" s="18">
        <v>150.1</v>
      </c>
      <c r="D37" s="18">
        <v>65</v>
      </c>
      <c r="F37">
        <v>150</v>
      </c>
    </row>
    <row r="38" spans="1:12">
      <c r="A38" s="39">
        <v>30</v>
      </c>
      <c r="B38" s="18">
        <v>3.05</v>
      </c>
      <c r="C38" s="18">
        <v>158.8</v>
      </c>
      <c r="D38" s="18">
        <v>63</v>
      </c>
      <c r="F38">
        <v>155</v>
      </c>
    </row>
    <row r="39" spans="1:12">
      <c r="A39" s="39">
        <v>31</v>
      </c>
      <c r="B39" s="18">
        <v>3.1</v>
      </c>
      <c r="C39" s="18">
        <v>166.3</v>
      </c>
      <c r="D39" s="18">
        <v>61</v>
      </c>
      <c r="F39">
        <v>160</v>
      </c>
    </row>
    <row r="40" spans="1:12">
      <c r="A40" s="39">
        <v>32</v>
      </c>
      <c r="B40" s="18">
        <v>3.15</v>
      </c>
      <c r="C40" s="18">
        <v>168.1</v>
      </c>
      <c r="D40" s="18">
        <v>60</v>
      </c>
      <c r="F40">
        <v>165</v>
      </c>
    </row>
    <row r="41" spans="1:12">
      <c r="A41" s="39">
        <v>33</v>
      </c>
      <c r="B41" s="18">
        <v>3.2</v>
      </c>
      <c r="C41" s="18">
        <v>175.6</v>
      </c>
      <c r="D41" s="18">
        <v>59</v>
      </c>
      <c r="F41">
        <v>170</v>
      </c>
    </row>
    <row r="42" spans="1:12">
      <c r="A42" s="39">
        <v>34</v>
      </c>
      <c r="B42" s="18">
        <v>3.25</v>
      </c>
      <c r="C42" s="18">
        <v>183.2</v>
      </c>
      <c r="D42" s="18">
        <v>58</v>
      </c>
      <c r="F42">
        <v>175</v>
      </c>
    </row>
    <row r="43" spans="1:12">
      <c r="A43" s="39">
        <v>35</v>
      </c>
      <c r="B43" s="18">
        <v>3.3</v>
      </c>
      <c r="C43" s="18">
        <v>185.6</v>
      </c>
      <c r="D43" s="18">
        <v>57</v>
      </c>
      <c r="F43">
        <v>180</v>
      </c>
    </row>
    <row r="44" spans="1:12">
      <c r="A44" s="39">
        <v>36</v>
      </c>
      <c r="B44" s="18">
        <v>3.35</v>
      </c>
      <c r="C44" s="18">
        <v>187.5</v>
      </c>
      <c r="D44" s="18">
        <v>56.5</v>
      </c>
      <c r="F44">
        <v>185</v>
      </c>
    </row>
    <row r="45" spans="1:12">
      <c r="A45" s="39">
        <v>37</v>
      </c>
      <c r="B45" s="18">
        <v>3.4</v>
      </c>
      <c r="C45" s="18">
        <v>195.5</v>
      </c>
      <c r="D45" s="18">
        <v>56</v>
      </c>
      <c r="F45">
        <v>190</v>
      </c>
    </row>
    <row r="46" spans="1:12">
      <c r="A46" s="39">
        <v>38</v>
      </c>
      <c r="B46" s="42">
        <v>3.45</v>
      </c>
      <c r="C46" s="42">
        <v>204.1</v>
      </c>
      <c r="D46" s="42">
        <v>55.5</v>
      </c>
      <c r="F46">
        <v>195</v>
      </c>
    </row>
    <row r="47" spans="1:12">
      <c r="A47" s="39">
        <v>39</v>
      </c>
      <c r="B47" s="18">
        <v>3.5</v>
      </c>
      <c r="C47" s="18">
        <v>207.8</v>
      </c>
      <c r="D47" s="18">
        <v>54.5</v>
      </c>
      <c r="F47">
        <v>200</v>
      </c>
    </row>
    <row r="48" spans="1:12">
      <c r="A48" s="39">
        <v>40</v>
      </c>
      <c r="B48" s="18">
        <v>3.55</v>
      </c>
      <c r="C48" s="18">
        <v>215.5</v>
      </c>
      <c r="D48" s="18">
        <v>54</v>
      </c>
      <c r="F48">
        <v>205</v>
      </c>
    </row>
    <row r="49" spans="1:8">
      <c r="A49" s="39">
        <v>41</v>
      </c>
      <c r="B49" s="18">
        <v>3.6</v>
      </c>
      <c r="C49" s="18">
        <v>230</v>
      </c>
      <c r="D49" s="18">
        <v>53.5</v>
      </c>
      <c r="F49">
        <v>210</v>
      </c>
    </row>
    <row r="50" spans="1:8">
      <c r="A50" s="39">
        <v>42</v>
      </c>
      <c r="B50" s="18">
        <v>3.65</v>
      </c>
      <c r="C50" s="18">
        <v>235</v>
      </c>
      <c r="D50" s="18">
        <v>53</v>
      </c>
      <c r="F50">
        <v>215</v>
      </c>
    </row>
    <row r="51" spans="1:8">
      <c r="A51" s="39">
        <v>43</v>
      </c>
      <c r="B51" s="18">
        <v>3.7</v>
      </c>
      <c r="C51" s="18">
        <v>237</v>
      </c>
      <c r="D51" s="18">
        <v>52.5</v>
      </c>
      <c r="F51">
        <v>220</v>
      </c>
    </row>
    <row r="52" spans="1:8">
      <c r="A52" s="39">
        <v>44</v>
      </c>
      <c r="B52" s="18">
        <v>3.75</v>
      </c>
      <c r="C52" s="18">
        <v>238</v>
      </c>
      <c r="D52" s="18">
        <v>52</v>
      </c>
      <c r="F52">
        <v>225</v>
      </c>
    </row>
    <row r="53" spans="1:8">
      <c r="A53" s="39">
        <v>45</v>
      </c>
      <c r="B53" s="18">
        <v>3.8</v>
      </c>
      <c r="C53" s="18">
        <v>240</v>
      </c>
      <c r="D53" s="18">
        <v>51</v>
      </c>
      <c r="F53">
        <v>230</v>
      </c>
    </row>
    <row r="57" spans="1:8">
      <c r="B57" s="17"/>
      <c r="C57" s="6"/>
      <c r="G57" s="17"/>
      <c r="H57" s="17"/>
    </row>
    <row r="58" spans="1:8">
      <c r="B58" s="17"/>
      <c r="C58" s="6"/>
      <c r="G58" s="17"/>
      <c r="H58" s="17"/>
    </row>
    <row r="59" spans="1:8">
      <c r="B59" s="17"/>
      <c r="C59" s="6"/>
      <c r="G59" s="17"/>
      <c r="H59" s="17"/>
    </row>
    <row r="60" spans="1:8">
      <c r="B60" s="17"/>
      <c r="C60" s="6"/>
      <c r="G60" s="17"/>
      <c r="H60" s="17"/>
    </row>
    <row r="61" spans="1:8">
      <c r="B61" s="17"/>
      <c r="C61" s="6"/>
      <c r="G61" s="17"/>
      <c r="H61" s="17"/>
    </row>
    <row r="62" spans="1:8">
      <c r="B62" s="17"/>
      <c r="C62" s="6"/>
      <c r="G62" s="17"/>
      <c r="H62" s="17"/>
    </row>
    <row r="63" spans="1:8">
      <c r="B63" s="17"/>
      <c r="C63" s="6"/>
      <c r="G63" s="17"/>
      <c r="H63" s="17"/>
    </row>
    <row r="64" spans="1:8">
      <c r="B64" s="17"/>
      <c r="C64" s="6"/>
      <c r="G64" s="17"/>
      <c r="H64" s="17"/>
    </row>
    <row r="65" spans="2:8">
      <c r="B65" s="13"/>
      <c r="C65" s="3"/>
      <c r="G65" s="13"/>
      <c r="H65" s="13"/>
    </row>
    <row r="66" spans="2:8">
      <c r="B66" s="13"/>
      <c r="C66" s="3"/>
      <c r="G66" s="13"/>
      <c r="H66" s="13"/>
    </row>
    <row r="67" spans="2:8">
      <c r="B67" s="13"/>
      <c r="C67" s="3"/>
      <c r="G67" s="13"/>
      <c r="H67" s="13"/>
    </row>
    <row r="68" spans="2:8">
      <c r="B68" s="13"/>
      <c r="C68" s="3"/>
      <c r="G68" s="13"/>
      <c r="H68" s="13"/>
    </row>
    <row r="69" spans="2:8">
      <c r="B69" s="13"/>
      <c r="C69" s="3"/>
      <c r="G69" s="13"/>
      <c r="H69" s="13"/>
    </row>
    <row r="70" spans="2:8">
      <c r="B70" s="13"/>
      <c r="C70" s="3"/>
      <c r="G70" s="13"/>
      <c r="H70" s="13"/>
    </row>
    <row r="71" spans="2:8">
      <c r="B71" s="13"/>
      <c r="C71" s="3"/>
      <c r="G71" s="13"/>
      <c r="H71" s="13"/>
    </row>
    <row r="72" spans="2:8">
      <c r="B72" s="13"/>
      <c r="C72" s="3"/>
      <c r="G72" s="13"/>
      <c r="H72" s="13"/>
    </row>
    <row r="73" spans="2:8">
      <c r="B73" s="13"/>
      <c r="C73" s="3"/>
      <c r="G73" s="13"/>
      <c r="H73" s="13"/>
    </row>
    <row r="74" spans="2:8">
      <c r="B74" s="18"/>
      <c r="C74" s="19"/>
      <c r="G74" s="18"/>
      <c r="H74" s="18"/>
    </row>
    <row r="75" spans="2:8">
      <c r="B75" s="18"/>
      <c r="C75" s="18"/>
      <c r="G75" s="18"/>
      <c r="H75" s="18"/>
    </row>
    <row r="76" spans="2:8">
      <c r="B76" s="18"/>
      <c r="C76" s="18"/>
      <c r="G76" s="18"/>
      <c r="H76" s="18"/>
    </row>
    <row r="77" spans="2:8">
      <c r="B77" s="18"/>
      <c r="C77" s="18"/>
      <c r="G77" s="18"/>
      <c r="H77" s="18"/>
    </row>
    <row r="78" spans="2:8">
      <c r="B78" s="18"/>
      <c r="C78" s="18"/>
      <c r="G78" s="18"/>
      <c r="H78" s="18"/>
    </row>
    <row r="79" spans="2:8">
      <c r="B79" s="18"/>
      <c r="C79" s="18"/>
      <c r="G79" s="18"/>
      <c r="H79" s="18"/>
    </row>
    <row r="80" spans="2:8">
      <c r="B80" s="18"/>
      <c r="C80" s="18"/>
      <c r="G80" s="18"/>
      <c r="H80" s="18"/>
    </row>
    <row r="81" spans="2:8">
      <c r="B81" s="18"/>
      <c r="C81" s="18"/>
      <c r="G81" s="18"/>
      <c r="H81" s="18"/>
    </row>
    <row r="82" spans="2:8">
      <c r="B82" s="18"/>
      <c r="C82" s="18"/>
      <c r="G82" s="18"/>
      <c r="H82" s="18"/>
    </row>
    <row r="83" spans="2:8">
      <c r="B83" s="18"/>
      <c r="C83" s="18"/>
      <c r="G83" s="18"/>
      <c r="H83" s="18"/>
    </row>
    <row r="84" spans="2:8">
      <c r="B84" s="18"/>
      <c r="C84" s="18"/>
      <c r="G84" s="18"/>
      <c r="H84" s="18"/>
    </row>
    <row r="85" spans="2:8">
      <c r="B85" s="18"/>
      <c r="C85" s="18"/>
      <c r="G85" s="18"/>
      <c r="H85" s="18"/>
    </row>
    <row r="86" spans="2:8">
      <c r="B86" s="18"/>
      <c r="C86" s="18"/>
      <c r="G86" s="18"/>
      <c r="H86" s="18"/>
    </row>
    <row r="87" spans="2:8">
      <c r="B87" s="18"/>
      <c r="C87" s="18"/>
      <c r="G87" s="18"/>
      <c r="H87" s="18"/>
    </row>
    <row r="88" spans="2:8">
      <c r="B88" s="18"/>
      <c r="C88" s="18"/>
      <c r="G88" s="18"/>
      <c r="H88" s="18"/>
    </row>
    <row r="89" spans="2:8">
      <c r="B89" s="18"/>
      <c r="C89" s="18"/>
      <c r="G89" s="18"/>
      <c r="H89" s="18"/>
    </row>
    <row r="90" spans="2:8">
      <c r="B90" s="18"/>
      <c r="C90" s="18"/>
      <c r="G90" s="18"/>
      <c r="H90" s="18"/>
    </row>
    <row r="91" spans="2:8">
      <c r="B91" s="18"/>
      <c r="C91" s="18"/>
      <c r="G91" s="18"/>
      <c r="H91" s="18"/>
    </row>
    <row r="92" spans="2:8">
      <c r="B92" s="18"/>
      <c r="C92" s="18"/>
      <c r="G92" s="18"/>
      <c r="H92" s="18"/>
    </row>
    <row r="93" spans="2:8">
      <c r="B93" s="18"/>
      <c r="C93" s="18"/>
      <c r="G93" s="18"/>
      <c r="H93" s="18"/>
    </row>
    <row r="94" spans="2:8">
      <c r="B94" s="42"/>
      <c r="C94" s="42"/>
      <c r="G94" s="42"/>
      <c r="H94" s="42"/>
    </row>
    <row r="95" spans="2:8">
      <c r="B95" s="18"/>
      <c r="C95" s="18"/>
      <c r="G95" s="18"/>
      <c r="H95" s="18"/>
    </row>
    <row r="96" spans="2:8">
      <c r="B96" s="18"/>
      <c r="C96" s="18"/>
      <c r="G96" s="18"/>
      <c r="H96" s="18"/>
    </row>
    <row r="97" spans="2:8">
      <c r="B97" s="18"/>
      <c r="C97" s="18"/>
      <c r="G97" s="18"/>
      <c r="H97" s="18"/>
    </row>
    <row r="98" spans="2:8">
      <c r="B98" s="18"/>
      <c r="C98" s="18"/>
      <c r="G98" s="18"/>
      <c r="H98" s="18"/>
    </row>
    <row r="99" spans="2:8">
      <c r="B99" s="18"/>
      <c r="C99" s="18"/>
      <c r="G99" s="18"/>
      <c r="H99" s="18"/>
    </row>
    <row r="100" spans="2:8">
      <c r="B100" s="18"/>
      <c r="C100" s="18"/>
      <c r="G100" s="18"/>
      <c r="H100" s="18"/>
    </row>
    <row r="101" spans="2:8">
      <c r="B101" s="18"/>
      <c r="C101" s="18"/>
      <c r="G101" s="18"/>
      <c r="H101" s="18"/>
    </row>
  </sheetData>
  <mergeCells count="2">
    <mergeCell ref="B2:F2"/>
    <mergeCell ref="B3:F3"/>
  </mergeCells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E22"/>
  <sheetViews>
    <sheetView zoomScale="205" zoomScaleNormal="205" topLeftCell="A4" workbookViewId="0">
      <selection activeCell="E13" sqref="E13"/>
    </sheetView>
  </sheetViews>
  <sheetFormatPr defaultColWidth="9" defaultRowHeight="14.25" outlineLevelCol="4"/>
  <cols>
    <col min="1" max="1" width="17.8583333333333" customWidth="1"/>
    <col min="3" max="3" width="12.1833333333333" customWidth="1"/>
    <col min="4" max="4" width="19.1416666666667" customWidth="1"/>
    <col min="5" max="5" width="12.55" customWidth="1"/>
  </cols>
  <sheetData>
    <row r="6" spans="1:5">
      <c r="A6" t="s">
        <v>30</v>
      </c>
    </row>
    <row r="7" spans="1:5">
      <c r="C7" t="s">
        <v>31</v>
      </c>
    </row>
    <row r="8" spans="1:5">
      <c r="B8" t="s">
        <v>32</v>
      </c>
      <c r="C8" t="s">
        <v>21</v>
      </c>
      <c r="D8" t="s">
        <v>33</v>
      </c>
      <c r="E8" t="s">
        <v>34</v>
      </c>
    </row>
    <row r="9" spans="1:5">
      <c r="B9">
        <v>2.3</v>
      </c>
      <c r="C9">
        <v>226</v>
      </c>
      <c r="D9">
        <v>153.5</v>
      </c>
      <c r="E9">
        <v>80</v>
      </c>
    </row>
    <row r="10" spans="1:5">
      <c r="C10">
        <v>236</v>
      </c>
      <c r="D10">
        <v>165.5</v>
      </c>
      <c r="E10">
        <v>83.5</v>
      </c>
    </row>
    <row r="11" spans="1:5">
      <c r="C11">
        <v>246</v>
      </c>
      <c r="D11">
        <v>175.5</v>
      </c>
      <c r="E11">
        <v>90.6</v>
      </c>
    </row>
    <row r="12" spans="1:5">
      <c r="C12">
        <v>256</v>
      </c>
      <c r="D12">
        <v>185</v>
      </c>
      <c r="E12">
        <v>98.6</v>
      </c>
    </row>
    <row r="13" spans="1:5">
      <c r="C13">
        <v>266</v>
      </c>
      <c r="D13">
        <v>195</v>
      </c>
      <c r="E13">
        <v>105.9</v>
      </c>
    </row>
    <row r="14" spans="1:5">
      <c r="C14">
        <v>276</v>
      </c>
      <c r="D14">
        <v>205</v>
      </c>
      <c r="E14">
        <v>113.6</v>
      </c>
    </row>
    <row r="15" spans="1:5">
      <c r="C15">
        <v>291</v>
      </c>
      <c r="D15">
        <v>215</v>
      </c>
      <c r="E15">
        <v>117.2</v>
      </c>
    </row>
    <row r="16" spans="1:5">
      <c r="C16">
        <v>300</v>
      </c>
      <c r="D16">
        <v>224</v>
      </c>
      <c r="E16">
        <v>125.2</v>
      </c>
    </row>
    <row r="18" spans="1:5">
      <c r="A18" t="s">
        <v>35</v>
      </c>
    </row>
    <row r="19" spans="1:5">
      <c r="B19" t="s">
        <v>32</v>
      </c>
      <c r="C19" t="s">
        <v>17</v>
      </c>
      <c r="D19" t="s">
        <v>36</v>
      </c>
      <c r="E19" t="s">
        <v>34</v>
      </c>
    </row>
    <row r="20" spans="1:5">
      <c r="B20">
        <v>2.3</v>
      </c>
      <c r="C20">
        <v>96</v>
      </c>
      <c r="D20">
        <v>150</v>
      </c>
      <c r="E20">
        <v>80</v>
      </c>
    </row>
    <row r="21" spans="1:5">
      <c r="C21">
        <v>95</v>
      </c>
      <c r="D21">
        <v>160</v>
      </c>
      <c r="E21">
        <v>80.2</v>
      </c>
    </row>
    <row r="22" spans="1:5">
      <c r="C22">
        <v>93</v>
      </c>
      <c r="D22">
        <v>180</v>
      </c>
      <c r="E22">
        <v>82.5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P58"/>
  <sheetViews>
    <sheetView zoomScale="160" zoomScaleNormal="160" topLeftCell="B1" workbookViewId="0">
      <selection activeCell="H17" sqref="H17"/>
    </sheetView>
  </sheetViews>
  <sheetFormatPr defaultColWidth="9" defaultRowHeight="14.25"/>
  <cols>
    <col min="3" max="3" width="10.7" customWidth="1"/>
    <col min="4" max="4" width="23.675" customWidth="1"/>
    <col min="5" max="5" width="10.85" customWidth="1"/>
    <col min="6" max="6" width="13.125" customWidth="1"/>
    <col min="14" max="15" width="10.8583333333333" customWidth="1"/>
  </cols>
  <sheetData>
    <row r="3" spans="1:16">
      <c r="A3" t="s">
        <v>37</v>
      </c>
      <c r="C3" t="s">
        <v>38</v>
      </c>
      <c r="F3" t="s">
        <v>39</v>
      </c>
    </row>
    <row r="4" spans="1:16">
      <c r="A4" s="10" t="s">
        <v>20</v>
      </c>
      <c r="B4" s="10" t="s">
        <v>15</v>
      </c>
      <c r="C4" s="10" t="s">
        <v>21</v>
      </c>
      <c r="D4" s="10" t="s">
        <v>40</v>
      </c>
      <c r="E4" s="10" t="s">
        <v>16</v>
      </c>
      <c r="F4" s="30" t="s">
        <v>22</v>
      </c>
      <c r="G4" s="30" t="s">
        <v>41</v>
      </c>
      <c r="H4" s="31"/>
      <c r="J4" t="s">
        <v>42</v>
      </c>
      <c r="M4" s="25">
        <v>1.48</v>
      </c>
      <c r="N4" s="13">
        <v>63</v>
      </c>
      <c r="O4">
        <v>300</v>
      </c>
      <c r="P4">
        <v>363</v>
      </c>
    </row>
    <row r="5" spans="1:16">
      <c r="A5">
        <v>5</v>
      </c>
      <c r="B5" s="25">
        <v>1.48</v>
      </c>
      <c r="C5" s="26">
        <v>70</v>
      </c>
      <c r="D5" s="13" t="s">
        <v>43</v>
      </c>
      <c r="E5" s="25">
        <v>4.8</v>
      </c>
      <c r="F5" s="25">
        <v>120</v>
      </c>
      <c r="G5" s="25"/>
      <c r="H5" s="32"/>
      <c r="I5" t="s">
        <v>44</v>
      </c>
      <c r="J5">
        <v>13</v>
      </c>
      <c r="M5" s="25">
        <v>1.528</v>
      </c>
      <c r="N5" s="13">
        <v>61</v>
      </c>
      <c r="O5">
        <v>238</v>
      </c>
      <c r="P5">
        <v>299</v>
      </c>
    </row>
    <row r="6" spans="1:16">
      <c r="A6">
        <v>10</v>
      </c>
      <c r="B6" s="25">
        <v>1.528</v>
      </c>
      <c r="C6" s="26">
        <v>60</v>
      </c>
      <c r="D6" s="13" t="s">
        <v>45</v>
      </c>
      <c r="E6" s="25">
        <v>9.7</v>
      </c>
      <c r="F6" s="25">
        <v>120</v>
      </c>
      <c r="G6" s="25"/>
      <c r="H6" s="33"/>
      <c r="I6" t="s">
        <v>46</v>
      </c>
      <c r="J6">
        <v>9</v>
      </c>
      <c r="M6" s="27">
        <v>1.6</v>
      </c>
      <c r="N6" s="17">
        <v>57</v>
      </c>
      <c r="O6" s="1">
        <v>217</v>
      </c>
      <c r="P6">
        <v>274</v>
      </c>
    </row>
    <row r="7" spans="1:16">
      <c r="A7" s="27">
        <v>15</v>
      </c>
      <c r="B7" s="27">
        <v>1.6</v>
      </c>
      <c r="C7" s="28">
        <v>86</v>
      </c>
      <c r="D7" s="17" t="s">
        <v>47</v>
      </c>
      <c r="E7" s="27">
        <v>15.3</v>
      </c>
      <c r="F7" s="27">
        <v>120</v>
      </c>
      <c r="G7" s="27"/>
      <c r="H7" s="34"/>
      <c r="I7" s="1" t="s">
        <v>48</v>
      </c>
      <c r="J7">
        <v>8</v>
      </c>
      <c r="M7" s="25">
        <v>1.65</v>
      </c>
      <c r="N7" s="13">
        <v>54</v>
      </c>
      <c r="O7">
        <v>178</v>
      </c>
      <c r="P7">
        <v>232</v>
      </c>
    </row>
    <row r="8" spans="1:16">
      <c r="A8" s="25">
        <v>20</v>
      </c>
      <c r="B8" s="25">
        <v>1.65</v>
      </c>
      <c r="C8" s="26">
        <v>44</v>
      </c>
      <c r="D8" s="13" t="s">
        <v>49</v>
      </c>
      <c r="E8" s="25">
        <v>19.5</v>
      </c>
      <c r="F8" s="25">
        <v>120</v>
      </c>
      <c r="G8" s="25"/>
      <c r="H8" s="33"/>
      <c r="J8">
        <v>8</v>
      </c>
      <c r="M8" s="27">
        <v>1.705</v>
      </c>
      <c r="N8" s="17">
        <v>50</v>
      </c>
      <c r="O8" s="1">
        <v>137</v>
      </c>
      <c r="P8">
        <v>187</v>
      </c>
    </row>
    <row r="9" spans="1:16">
      <c r="A9" s="27">
        <v>25</v>
      </c>
      <c r="B9" s="27">
        <v>1.705</v>
      </c>
      <c r="C9" s="28">
        <v>100</v>
      </c>
      <c r="D9" s="17" t="s">
        <v>50</v>
      </c>
      <c r="E9" s="27">
        <v>24.9</v>
      </c>
      <c r="F9" s="27">
        <v>120</v>
      </c>
      <c r="G9" s="27"/>
      <c r="H9" s="34"/>
      <c r="I9" s="1" t="s">
        <v>51</v>
      </c>
      <c r="J9">
        <v>7</v>
      </c>
      <c r="K9" t="s">
        <v>52</v>
      </c>
      <c r="M9" s="25">
        <v>1.75</v>
      </c>
      <c r="N9" s="13">
        <v>48</v>
      </c>
      <c r="O9">
        <v>118</v>
      </c>
      <c r="P9">
        <v>166</v>
      </c>
    </row>
    <row r="10" spans="1:16">
      <c r="A10" s="25">
        <v>30</v>
      </c>
      <c r="B10" s="25">
        <v>1.75</v>
      </c>
      <c r="C10" s="26">
        <v>78</v>
      </c>
      <c r="D10" s="13" t="s">
        <v>53</v>
      </c>
      <c r="E10" s="25">
        <v>29.8</v>
      </c>
      <c r="F10" s="25">
        <v>119</v>
      </c>
      <c r="G10" s="25"/>
      <c r="H10" s="33"/>
      <c r="J10">
        <v>8</v>
      </c>
      <c r="M10" s="27">
        <v>1.8</v>
      </c>
      <c r="N10" s="17">
        <v>45</v>
      </c>
      <c r="O10" s="1">
        <v>104.5</v>
      </c>
      <c r="P10">
        <v>149.5</v>
      </c>
    </row>
    <row r="11" spans="1:16">
      <c r="A11" s="27">
        <v>35</v>
      </c>
      <c r="B11" s="27">
        <v>1.8</v>
      </c>
      <c r="C11" s="28">
        <v>85</v>
      </c>
      <c r="D11" s="17" t="s">
        <v>54</v>
      </c>
      <c r="E11" s="27">
        <v>34.7</v>
      </c>
      <c r="F11" s="27">
        <v>120</v>
      </c>
      <c r="G11" s="27"/>
      <c r="H11" s="34"/>
      <c r="I11" s="1" t="s">
        <v>55</v>
      </c>
      <c r="J11">
        <v>4.5</v>
      </c>
      <c r="M11" s="25">
        <v>1.865</v>
      </c>
      <c r="N11" s="13">
        <v>43.5</v>
      </c>
      <c r="O11">
        <v>97</v>
      </c>
      <c r="P11">
        <v>140.5</v>
      </c>
    </row>
    <row r="12" spans="1:16">
      <c r="A12" s="25">
        <v>40</v>
      </c>
      <c r="B12" s="25">
        <v>1.865</v>
      </c>
      <c r="C12" s="26">
        <v>73</v>
      </c>
      <c r="D12" s="13" t="s">
        <v>56</v>
      </c>
      <c r="E12" s="25">
        <v>40.2</v>
      </c>
      <c r="F12" s="25">
        <v>119</v>
      </c>
      <c r="G12" s="25"/>
      <c r="H12" s="33"/>
      <c r="J12">
        <v>7.5</v>
      </c>
      <c r="M12" s="25">
        <v>1.92</v>
      </c>
      <c r="N12" s="13">
        <v>41.5</v>
      </c>
      <c r="O12">
        <v>88</v>
      </c>
      <c r="P12">
        <v>129.5</v>
      </c>
    </row>
    <row r="13" spans="1:16">
      <c r="A13" s="25">
        <v>45</v>
      </c>
      <c r="B13" s="25">
        <v>1.92</v>
      </c>
      <c r="C13" s="26">
        <v>63</v>
      </c>
      <c r="D13" s="13" t="s">
        <v>57</v>
      </c>
      <c r="E13" s="25">
        <v>45.6</v>
      </c>
      <c r="F13" s="25">
        <v>119</v>
      </c>
      <c r="G13" s="25"/>
      <c r="H13" s="33"/>
      <c r="J13">
        <v>6.5</v>
      </c>
      <c r="M13" s="25">
        <v>1.98</v>
      </c>
      <c r="N13" s="13">
        <v>40</v>
      </c>
      <c r="O13">
        <v>80</v>
      </c>
      <c r="P13">
        <v>120</v>
      </c>
    </row>
    <row r="14" spans="1:16">
      <c r="A14" s="25">
        <v>50</v>
      </c>
      <c r="B14" s="25">
        <v>1.98</v>
      </c>
      <c r="C14" s="26">
        <v>53</v>
      </c>
      <c r="D14" s="13" t="s">
        <v>58</v>
      </c>
      <c r="E14" s="25">
        <v>50.3</v>
      </c>
      <c r="F14" s="25">
        <v>120</v>
      </c>
      <c r="G14" s="25"/>
      <c r="H14" s="33"/>
      <c r="J14">
        <v>7</v>
      </c>
      <c r="M14" s="25">
        <v>2.063</v>
      </c>
      <c r="N14" s="13">
        <v>38.5</v>
      </c>
      <c r="O14">
        <v>73</v>
      </c>
      <c r="P14">
        <v>111.5</v>
      </c>
    </row>
    <row r="15" spans="1:16">
      <c r="A15" s="25">
        <v>55</v>
      </c>
      <c r="B15" s="25">
        <v>2.063</v>
      </c>
      <c r="C15" s="26">
        <v>43</v>
      </c>
      <c r="D15" s="13" t="s">
        <v>59</v>
      </c>
      <c r="E15" s="25">
        <v>54.8</v>
      </c>
      <c r="F15" s="25">
        <v>119.5</v>
      </c>
      <c r="G15" s="25"/>
      <c r="H15" s="33"/>
      <c r="J15">
        <v>8.5</v>
      </c>
      <c r="M15" s="25">
        <v>2.128</v>
      </c>
      <c r="N15" s="13">
        <v>38</v>
      </c>
      <c r="O15">
        <v>69</v>
      </c>
      <c r="P15">
        <v>107</v>
      </c>
    </row>
    <row r="16" spans="1:16">
      <c r="A16" s="25">
        <v>60</v>
      </c>
      <c r="B16" s="25">
        <v>2.128</v>
      </c>
      <c r="C16" s="26">
        <v>38</v>
      </c>
      <c r="D16" s="13" t="s">
        <v>60</v>
      </c>
      <c r="E16" s="25">
        <v>60.6</v>
      </c>
      <c r="F16" s="25">
        <v>119</v>
      </c>
      <c r="G16" s="25"/>
      <c r="H16" s="33"/>
      <c r="J16">
        <v>9</v>
      </c>
      <c r="M16" s="25">
        <v>2.21</v>
      </c>
      <c r="N16" s="13">
        <v>35.5</v>
      </c>
      <c r="O16">
        <v>66</v>
      </c>
      <c r="P16">
        <v>101.5</v>
      </c>
    </row>
    <row r="17" spans="1:16">
      <c r="A17" s="25">
        <v>65</v>
      </c>
      <c r="B17" s="25">
        <v>2.21</v>
      </c>
      <c r="C17" s="26">
        <v>34</v>
      </c>
      <c r="D17" s="13" t="s">
        <v>61</v>
      </c>
      <c r="E17" s="25">
        <v>64.6</v>
      </c>
      <c r="F17" s="25">
        <v>119</v>
      </c>
      <c r="G17" s="25"/>
      <c r="H17" s="33"/>
      <c r="J17">
        <v>7</v>
      </c>
      <c r="M17" s="25">
        <v>2.24</v>
      </c>
      <c r="N17" s="13">
        <v>34.5</v>
      </c>
      <c r="O17">
        <v>63</v>
      </c>
      <c r="P17">
        <v>97.5</v>
      </c>
    </row>
    <row r="18" spans="1:16">
      <c r="A18" s="25">
        <v>70</v>
      </c>
      <c r="B18" s="25">
        <v>2.24</v>
      </c>
      <c r="C18" s="26">
        <v>30</v>
      </c>
      <c r="D18" s="13" t="s">
        <v>62</v>
      </c>
      <c r="E18" s="25">
        <v>70.8</v>
      </c>
      <c r="F18" s="25">
        <v>119</v>
      </c>
      <c r="G18" s="25"/>
      <c r="H18" s="33"/>
      <c r="J18">
        <v>7.5</v>
      </c>
      <c r="M18" s="25">
        <v>2.29</v>
      </c>
      <c r="N18" s="13">
        <v>33.5</v>
      </c>
      <c r="O18">
        <v>60.5</v>
      </c>
      <c r="P18">
        <v>94</v>
      </c>
    </row>
    <row r="19" spans="1:16">
      <c r="A19" s="25">
        <v>75</v>
      </c>
      <c r="B19" s="25">
        <v>2.29</v>
      </c>
      <c r="C19" s="26">
        <v>27</v>
      </c>
      <c r="D19" s="13" t="s">
        <v>63</v>
      </c>
      <c r="E19" s="25">
        <v>75.7</v>
      </c>
      <c r="F19" s="25">
        <v>119.5</v>
      </c>
      <c r="G19" s="25"/>
      <c r="H19" s="33"/>
      <c r="J19">
        <v>7</v>
      </c>
      <c r="M19" s="25">
        <v>2.35</v>
      </c>
      <c r="N19" s="13">
        <v>32</v>
      </c>
      <c r="O19">
        <v>56.5</v>
      </c>
      <c r="P19">
        <v>88.5</v>
      </c>
    </row>
    <row r="20" spans="1:16">
      <c r="A20" s="25">
        <v>80</v>
      </c>
      <c r="B20" s="25">
        <v>2.35</v>
      </c>
      <c r="C20" s="26">
        <v>24</v>
      </c>
      <c r="D20" s="13" t="s">
        <v>64</v>
      </c>
      <c r="E20" s="25">
        <v>80.3</v>
      </c>
      <c r="F20" s="25">
        <v>121</v>
      </c>
      <c r="G20" s="25"/>
      <c r="H20" s="33"/>
      <c r="J20">
        <v>6</v>
      </c>
      <c r="M20" s="25">
        <v>2.4</v>
      </c>
      <c r="N20" s="13">
        <v>32</v>
      </c>
      <c r="O20">
        <v>54.5</v>
      </c>
      <c r="P20">
        <v>86.5</v>
      </c>
    </row>
    <row r="21" spans="1:16">
      <c r="A21" s="25">
        <v>85</v>
      </c>
      <c r="B21" s="25">
        <v>2.4</v>
      </c>
      <c r="C21" s="26">
        <v>21</v>
      </c>
      <c r="D21" s="13" t="s">
        <v>65</v>
      </c>
      <c r="E21" s="25">
        <v>85.9</v>
      </c>
      <c r="F21" s="25">
        <v>121</v>
      </c>
      <c r="G21" s="25"/>
      <c r="H21" s="33"/>
      <c r="J21">
        <v>5.5</v>
      </c>
      <c r="M21" s="25">
        <v>2.46</v>
      </c>
      <c r="N21" s="13">
        <v>31</v>
      </c>
      <c r="O21">
        <v>52.5</v>
      </c>
      <c r="P21">
        <v>83.5</v>
      </c>
    </row>
    <row r="22" spans="1:16">
      <c r="A22" s="25">
        <v>90</v>
      </c>
      <c r="B22" s="25">
        <v>2.46</v>
      </c>
      <c r="C22" s="26">
        <v>18</v>
      </c>
      <c r="D22" s="13" t="s">
        <v>66</v>
      </c>
      <c r="E22" s="25">
        <v>90.8</v>
      </c>
      <c r="F22" s="25">
        <v>120</v>
      </c>
      <c r="G22" s="25"/>
      <c r="H22" s="33"/>
      <c r="J22">
        <v>5.5</v>
      </c>
      <c r="M22" s="25">
        <v>2.52</v>
      </c>
      <c r="N22" s="13">
        <v>30.5</v>
      </c>
      <c r="O22">
        <v>50.5</v>
      </c>
      <c r="P22">
        <v>81</v>
      </c>
    </row>
    <row r="23" spans="1:16">
      <c r="A23" s="25">
        <v>95</v>
      </c>
      <c r="B23" s="25">
        <v>2.52</v>
      </c>
      <c r="C23" s="26">
        <v>13</v>
      </c>
      <c r="D23" s="13" t="s">
        <v>67</v>
      </c>
      <c r="E23" s="25">
        <v>95.3</v>
      </c>
      <c r="F23" s="25">
        <v>119</v>
      </c>
      <c r="G23" s="25"/>
      <c r="H23" s="33"/>
      <c r="J23">
        <v>8</v>
      </c>
      <c r="M23" s="25">
        <v>2.63</v>
      </c>
      <c r="N23" s="13">
        <v>29</v>
      </c>
      <c r="O23">
        <v>48.5</v>
      </c>
      <c r="P23">
        <v>77.5</v>
      </c>
    </row>
    <row r="24" spans="1:16">
      <c r="A24" s="25">
        <v>100</v>
      </c>
      <c r="B24" s="25">
        <v>2.63</v>
      </c>
      <c r="C24" s="26">
        <v>9</v>
      </c>
      <c r="D24" s="13" t="s">
        <v>68</v>
      </c>
      <c r="E24" s="25">
        <v>101.7</v>
      </c>
      <c r="F24" s="25">
        <v>119.5</v>
      </c>
      <c r="G24" s="25"/>
      <c r="H24" s="33"/>
      <c r="M24" s="25">
        <v>2.703</v>
      </c>
      <c r="N24" s="13">
        <v>28</v>
      </c>
      <c r="O24">
        <v>46.5</v>
      </c>
      <c r="P24">
        <v>74.5</v>
      </c>
    </row>
    <row r="25" spans="1:16">
      <c r="A25" s="25">
        <v>105</v>
      </c>
      <c r="B25" s="25">
        <v>2.703</v>
      </c>
      <c r="C25" s="26">
        <v>8</v>
      </c>
      <c r="D25" s="13" t="s">
        <v>69</v>
      </c>
      <c r="E25" s="25">
        <v>105.6</v>
      </c>
      <c r="F25" s="25">
        <v>119.5</v>
      </c>
      <c r="G25" s="25">
        <v>144</v>
      </c>
      <c r="H25" s="33"/>
      <c r="J25">
        <v>7.5</v>
      </c>
      <c r="M25" s="25">
        <v>2.7</v>
      </c>
      <c r="N25" s="13">
        <v>28</v>
      </c>
      <c r="O25">
        <v>44.5</v>
      </c>
      <c r="P25">
        <v>72.5</v>
      </c>
    </row>
    <row r="26" spans="1:16">
      <c r="A26" s="25">
        <v>110</v>
      </c>
      <c r="B26" s="25">
        <v>2.7</v>
      </c>
      <c r="C26" s="26">
        <v>65</v>
      </c>
      <c r="D26" s="13" t="s">
        <v>70</v>
      </c>
      <c r="E26" s="25">
        <v>110.7</v>
      </c>
      <c r="F26" s="25">
        <v>120</v>
      </c>
      <c r="G26" s="25"/>
      <c r="H26" s="33"/>
      <c r="I26" s="1" t="s">
        <v>71</v>
      </c>
      <c r="J26">
        <v>7.5</v>
      </c>
      <c r="M26" s="27">
        <v>2.8</v>
      </c>
      <c r="N26" s="17">
        <v>27.5</v>
      </c>
      <c r="O26" s="1">
        <v>44</v>
      </c>
      <c r="P26">
        <v>71.5</v>
      </c>
    </row>
    <row r="27" spans="1:16">
      <c r="A27" s="17">
        <v>115</v>
      </c>
      <c r="B27" s="27">
        <v>2.8</v>
      </c>
      <c r="C27" s="28">
        <v>65</v>
      </c>
      <c r="D27" s="17" t="s">
        <v>72</v>
      </c>
      <c r="E27" s="27">
        <v>114.8</v>
      </c>
      <c r="F27" s="27">
        <v>120</v>
      </c>
      <c r="G27" s="27">
        <v>144</v>
      </c>
      <c r="H27" s="6"/>
      <c r="I27" s="1" t="s">
        <v>71</v>
      </c>
      <c r="J27">
        <v>6.5</v>
      </c>
      <c r="M27" s="13">
        <v>2.822</v>
      </c>
      <c r="N27" s="13">
        <v>26.5</v>
      </c>
      <c r="O27">
        <v>43.5</v>
      </c>
      <c r="P27">
        <v>70</v>
      </c>
    </row>
    <row r="28" spans="1:16">
      <c r="A28" s="13">
        <v>120</v>
      </c>
      <c r="B28" s="13">
        <v>2.822</v>
      </c>
      <c r="C28" s="13">
        <v>64</v>
      </c>
      <c r="D28" s="13" t="s">
        <v>73</v>
      </c>
      <c r="E28" s="13">
        <v>120.2</v>
      </c>
      <c r="F28" s="13">
        <v>119.5</v>
      </c>
      <c r="G28" s="13">
        <v>145</v>
      </c>
      <c r="H28" s="13"/>
      <c r="J28">
        <v>6.5</v>
      </c>
      <c r="M28" s="13">
        <v>2.843</v>
      </c>
      <c r="N28" s="13">
        <v>27</v>
      </c>
      <c r="O28">
        <v>42.5</v>
      </c>
      <c r="P28">
        <v>69.5</v>
      </c>
    </row>
    <row r="29" spans="1:16">
      <c r="A29" s="13">
        <v>125</v>
      </c>
      <c r="B29" s="13">
        <v>2.843</v>
      </c>
      <c r="C29" s="13">
        <v>63</v>
      </c>
      <c r="D29" s="13" t="s">
        <v>74</v>
      </c>
      <c r="E29" s="13">
        <v>125.3</v>
      </c>
      <c r="F29" s="13">
        <v>120</v>
      </c>
      <c r="G29" s="13">
        <v>146</v>
      </c>
      <c r="H29" s="13"/>
      <c r="J29">
        <v>6</v>
      </c>
      <c r="M29" s="13">
        <v>2.903</v>
      </c>
      <c r="N29" s="13">
        <v>26.5</v>
      </c>
      <c r="O29">
        <v>40.5</v>
      </c>
      <c r="P29">
        <v>67</v>
      </c>
    </row>
    <row r="30" spans="1:16">
      <c r="A30" s="13">
        <v>130</v>
      </c>
      <c r="B30" s="13">
        <v>2.903</v>
      </c>
      <c r="C30" s="13">
        <v>62</v>
      </c>
      <c r="D30" s="13" t="s">
        <v>75</v>
      </c>
      <c r="E30" s="13">
        <v>129.8</v>
      </c>
      <c r="F30" s="13">
        <v>120</v>
      </c>
      <c r="G30" s="13">
        <v>146.5</v>
      </c>
      <c r="H30" s="13"/>
      <c r="J30">
        <v>5</v>
      </c>
      <c r="M30" s="13">
        <v>2.975</v>
      </c>
      <c r="N30" s="13">
        <v>25.5</v>
      </c>
      <c r="O30">
        <v>41</v>
      </c>
      <c r="P30">
        <v>66.5</v>
      </c>
    </row>
    <row r="31" spans="1:16">
      <c r="A31" s="13">
        <v>135</v>
      </c>
      <c r="B31" s="13">
        <v>2.975</v>
      </c>
      <c r="C31" s="13">
        <v>61</v>
      </c>
      <c r="D31" s="13" t="s">
        <v>76</v>
      </c>
      <c r="E31" s="13">
        <v>135.6</v>
      </c>
      <c r="F31" s="13">
        <v>120.5</v>
      </c>
      <c r="G31" s="13">
        <v>146.5</v>
      </c>
      <c r="H31" s="13"/>
      <c r="J31">
        <v>5.5</v>
      </c>
      <c r="M31" s="13">
        <v>3.028</v>
      </c>
      <c r="N31">
        <v>25.5</v>
      </c>
      <c r="O31">
        <v>39.5</v>
      </c>
      <c r="P31">
        <v>65</v>
      </c>
    </row>
    <row r="32" spans="1:16">
      <c r="A32" s="13">
        <v>140</v>
      </c>
      <c r="B32" s="13">
        <v>3.028</v>
      </c>
      <c r="C32">
        <v>59</v>
      </c>
      <c r="D32" t="s">
        <v>77</v>
      </c>
      <c r="E32" s="13">
        <v>140.5</v>
      </c>
      <c r="F32" s="13">
        <v>121</v>
      </c>
      <c r="G32" s="13">
        <v>146</v>
      </c>
      <c r="H32" s="3"/>
      <c r="J32">
        <v>7</v>
      </c>
      <c r="M32" s="13">
        <v>3.078</v>
      </c>
      <c r="N32" s="13">
        <v>25</v>
      </c>
      <c r="O32">
        <v>38.5</v>
      </c>
      <c r="P32">
        <v>63.5</v>
      </c>
    </row>
    <row r="33" spans="1:16">
      <c r="A33" s="13">
        <v>145</v>
      </c>
      <c r="B33" s="13">
        <v>3.078</v>
      </c>
      <c r="C33" s="13">
        <v>58</v>
      </c>
      <c r="D33" s="13" t="s">
        <v>78</v>
      </c>
      <c r="E33" s="13">
        <v>145.6</v>
      </c>
      <c r="F33" s="13">
        <v>121</v>
      </c>
      <c r="G33" s="13">
        <v>146</v>
      </c>
      <c r="H33" s="3"/>
      <c r="J33">
        <v>5.5</v>
      </c>
      <c r="M33" s="13">
        <v>3.083</v>
      </c>
      <c r="N33" s="13">
        <v>24.5</v>
      </c>
      <c r="O33">
        <v>37.5</v>
      </c>
      <c r="P33">
        <v>62</v>
      </c>
    </row>
    <row r="34" spans="1:16">
      <c r="A34" s="13">
        <v>150</v>
      </c>
      <c r="B34" s="13">
        <v>3.083</v>
      </c>
      <c r="C34" s="13">
        <v>56</v>
      </c>
      <c r="D34" s="13" t="s">
        <v>79</v>
      </c>
      <c r="E34" s="13">
        <v>150.6</v>
      </c>
      <c r="F34" s="13">
        <v>120.5</v>
      </c>
      <c r="G34" s="13">
        <v>146</v>
      </c>
      <c r="H34" s="3"/>
      <c r="J34">
        <v>6</v>
      </c>
      <c r="M34" s="13">
        <v>3.175</v>
      </c>
      <c r="N34" s="13">
        <v>23.5</v>
      </c>
      <c r="O34">
        <v>36</v>
      </c>
      <c r="P34">
        <v>59.5</v>
      </c>
    </row>
    <row r="35" spans="1:16">
      <c r="A35" s="13">
        <v>155</v>
      </c>
      <c r="B35" s="13">
        <v>3.175</v>
      </c>
      <c r="C35" s="13">
        <v>55</v>
      </c>
      <c r="D35" s="13" t="s">
        <v>80</v>
      </c>
      <c r="E35" s="13">
        <v>154.7</v>
      </c>
      <c r="F35" s="13">
        <v>121</v>
      </c>
      <c r="G35" s="13">
        <v>147</v>
      </c>
      <c r="H35" s="3"/>
      <c r="J35">
        <v>4.5</v>
      </c>
      <c r="M35" s="13">
        <v>3.225</v>
      </c>
      <c r="N35" s="13">
        <v>23.5</v>
      </c>
      <c r="O35">
        <v>35.5</v>
      </c>
      <c r="P35">
        <v>59</v>
      </c>
    </row>
    <row r="36" spans="1:16">
      <c r="A36" s="13">
        <v>160</v>
      </c>
      <c r="B36" s="13">
        <v>3.225</v>
      </c>
      <c r="C36" s="13">
        <v>54</v>
      </c>
      <c r="D36" s="13" t="s">
        <v>81</v>
      </c>
      <c r="E36" s="13">
        <v>160.8</v>
      </c>
      <c r="F36" s="13">
        <v>121</v>
      </c>
      <c r="G36" s="13">
        <v>146</v>
      </c>
      <c r="H36" s="3"/>
      <c r="J36">
        <v>5</v>
      </c>
      <c r="M36" s="13">
        <v>2.283</v>
      </c>
      <c r="N36" s="13">
        <v>23</v>
      </c>
      <c r="O36">
        <v>34</v>
      </c>
      <c r="P36">
        <v>57</v>
      </c>
    </row>
    <row r="37" spans="1:16">
      <c r="A37" s="13">
        <v>165</v>
      </c>
      <c r="B37" s="13">
        <v>2.283</v>
      </c>
      <c r="C37" s="13">
        <v>53</v>
      </c>
      <c r="D37" s="13" t="s">
        <v>82</v>
      </c>
      <c r="E37" s="13">
        <v>165.2</v>
      </c>
      <c r="F37" s="13">
        <v>120.5</v>
      </c>
      <c r="G37" s="13">
        <v>146</v>
      </c>
      <c r="H37" s="3"/>
      <c r="J37">
        <v>4</v>
      </c>
      <c r="M37" s="13">
        <v>3.353</v>
      </c>
      <c r="N37" s="13">
        <v>23</v>
      </c>
      <c r="O37">
        <v>33.5</v>
      </c>
      <c r="P37">
        <v>56.5</v>
      </c>
    </row>
    <row r="38" spans="1:16">
      <c r="A38" s="13">
        <v>170</v>
      </c>
      <c r="B38" s="13">
        <v>3.353</v>
      </c>
      <c r="C38" s="13">
        <v>51</v>
      </c>
      <c r="D38" s="13" t="s">
        <v>83</v>
      </c>
      <c r="E38" s="13">
        <v>170.3</v>
      </c>
      <c r="F38" s="13">
        <v>120.5</v>
      </c>
      <c r="G38" s="13">
        <v>146</v>
      </c>
      <c r="H38" s="3"/>
      <c r="J38">
        <v>5.5</v>
      </c>
      <c r="M38" s="13">
        <v>3.398</v>
      </c>
      <c r="N38" s="13">
        <v>22.5</v>
      </c>
      <c r="O38">
        <v>33.5</v>
      </c>
      <c r="P38">
        <v>56</v>
      </c>
    </row>
    <row r="39" spans="1:16">
      <c r="A39" s="13">
        <v>175</v>
      </c>
      <c r="B39" s="13">
        <v>3.398</v>
      </c>
      <c r="C39" s="13">
        <v>49</v>
      </c>
      <c r="D39" s="13" t="s">
        <v>84</v>
      </c>
      <c r="E39" s="13">
        <v>175.6</v>
      </c>
      <c r="F39" s="13">
        <v>120.5</v>
      </c>
      <c r="G39" s="13">
        <v>146</v>
      </c>
      <c r="H39" s="3"/>
      <c r="J39">
        <v>7</v>
      </c>
      <c r="M39" s="13">
        <v>3.453</v>
      </c>
      <c r="N39" s="13">
        <v>22.5</v>
      </c>
      <c r="O39">
        <v>32.5</v>
      </c>
      <c r="P39">
        <v>55</v>
      </c>
    </row>
    <row r="40" spans="1:16">
      <c r="A40" s="13">
        <v>180</v>
      </c>
      <c r="B40" s="13">
        <v>3.453</v>
      </c>
      <c r="C40" s="13">
        <v>48</v>
      </c>
      <c r="D40" s="13" t="s">
        <v>85</v>
      </c>
      <c r="E40" s="13">
        <v>180.3</v>
      </c>
      <c r="F40" s="13">
        <v>121</v>
      </c>
      <c r="G40" s="13"/>
      <c r="H40" s="3"/>
      <c r="J40">
        <v>7</v>
      </c>
      <c r="M40" s="13">
        <v>3.518</v>
      </c>
      <c r="N40" s="13">
        <v>22</v>
      </c>
      <c r="O40">
        <v>31.5</v>
      </c>
      <c r="P40">
        <v>53.5</v>
      </c>
    </row>
    <row r="41" spans="1:16">
      <c r="A41" s="13">
        <v>185</v>
      </c>
      <c r="B41" s="13">
        <v>3.518</v>
      </c>
      <c r="C41" s="13">
        <v>47</v>
      </c>
      <c r="D41" s="13" t="s">
        <v>86</v>
      </c>
      <c r="E41" s="13">
        <v>185.3</v>
      </c>
      <c r="F41" s="13">
        <v>120.5</v>
      </c>
      <c r="G41" s="13"/>
      <c r="H41" s="3"/>
      <c r="J41">
        <v>6.5</v>
      </c>
      <c r="M41" s="13">
        <v>3.583</v>
      </c>
      <c r="N41" s="13">
        <v>21.5</v>
      </c>
      <c r="O41">
        <v>31.5</v>
      </c>
      <c r="P41">
        <v>53</v>
      </c>
    </row>
    <row r="42" spans="1:16">
      <c r="A42" s="13">
        <v>190</v>
      </c>
      <c r="B42" s="13">
        <v>3.583</v>
      </c>
      <c r="C42" s="13">
        <v>46</v>
      </c>
      <c r="D42" s="13" t="s">
        <v>87</v>
      </c>
      <c r="E42" s="13">
        <v>190.7</v>
      </c>
      <c r="F42" s="13">
        <v>119.5</v>
      </c>
      <c r="G42" s="13"/>
      <c r="H42" s="3"/>
      <c r="J42">
        <v>7</v>
      </c>
      <c r="M42" s="13">
        <v>3.123</v>
      </c>
      <c r="N42" s="13">
        <v>21.5</v>
      </c>
      <c r="O42">
        <v>30.5</v>
      </c>
      <c r="P42">
        <v>52</v>
      </c>
    </row>
    <row r="43" spans="1:16">
      <c r="A43" s="13">
        <v>195</v>
      </c>
      <c r="B43" s="13">
        <v>3.123</v>
      </c>
      <c r="C43" s="13">
        <v>45</v>
      </c>
      <c r="D43" s="13" t="s">
        <v>88</v>
      </c>
      <c r="E43" s="13">
        <v>194.8</v>
      </c>
      <c r="F43" s="13">
        <v>120</v>
      </c>
      <c r="G43" s="13"/>
      <c r="H43" s="3"/>
      <c r="J43">
        <v>7</v>
      </c>
      <c r="M43" s="13">
        <v>3.693</v>
      </c>
      <c r="N43" s="13">
        <v>21</v>
      </c>
      <c r="O43">
        <v>30.5</v>
      </c>
      <c r="P43">
        <v>51.5</v>
      </c>
    </row>
    <row r="44" spans="1:16">
      <c r="A44" s="13">
        <v>200</v>
      </c>
      <c r="B44" s="13">
        <v>3.693</v>
      </c>
      <c r="C44" s="13">
        <v>44</v>
      </c>
      <c r="D44" s="13" t="s">
        <v>89</v>
      </c>
      <c r="E44" s="13">
        <v>200.4</v>
      </c>
      <c r="F44" s="13">
        <v>120</v>
      </c>
      <c r="G44" s="13"/>
      <c r="H44" s="3"/>
      <c r="J44">
        <v>7.5</v>
      </c>
      <c r="M44" s="13">
        <v>3.7</v>
      </c>
      <c r="N44" s="13">
        <v>21</v>
      </c>
      <c r="O44">
        <v>30.5</v>
      </c>
      <c r="P44">
        <v>51.5</v>
      </c>
    </row>
    <row r="45" spans="1:16">
      <c r="A45" s="13">
        <v>205</v>
      </c>
      <c r="B45" s="13"/>
      <c r="C45" s="13"/>
      <c r="D45" s="13"/>
      <c r="E45" s="13"/>
      <c r="F45" s="13"/>
      <c r="G45" s="13"/>
      <c r="H45" s="3"/>
      <c r="M45" s="18">
        <v>3.8</v>
      </c>
      <c r="N45" s="18">
        <v>20.5</v>
      </c>
      <c r="O45">
        <v>30</v>
      </c>
      <c r="P45">
        <v>50.5</v>
      </c>
    </row>
    <row r="46" spans="1:16">
      <c r="A46" s="13">
        <v>210</v>
      </c>
      <c r="B46" s="13">
        <v>3.7</v>
      </c>
      <c r="C46" s="13">
        <v>44</v>
      </c>
      <c r="D46" s="13" t="s">
        <v>89</v>
      </c>
      <c r="E46" s="13">
        <v>209</v>
      </c>
      <c r="F46" s="13">
        <v>119</v>
      </c>
      <c r="G46" s="13"/>
      <c r="H46" s="3"/>
      <c r="M46">
        <v>3.8</v>
      </c>
      <c r="N46">
        <v>20.5</v>
      </c>
      <c r="O46">
        <v>30</v>
      </c>
      <c r="P46">
        <v>50.5</v>
      </c>
    </row>
    <row r="47" spans="1:16">
      <c r="A47" s="13">
        <v>215</v>
      </c>
      <c r="B47" s="13"/>
      <c r="C47" s="13"/>
      <c r="D47" s="13"/>
      <c r="E47" s="13"/>
      <c r="F47" s="13"/>
      <c r="G47" s="13"/>
      <c r="H47" s="3"/>
      <c r="M47">
        <v>3.8</v>
      </c>
      <c r="N47">
        <v>20.5</v>
      </c>
      <c r="O47">
        <v>30</v>
      </c>
      <c r="P47">
        <v>50.5</v>
      </c>
    </row>
    <row r="48" spans="1:16">
      <c r="A48" s="18">
        <v>220</v>
      </c>
      <c r="B48" s="18">
        <v>3.8</v>
      </c>
      <c r="C48" s="18">
        <v>43</v>
      </c>
      <c r="D48" s="18" t="s">
        <v>90</v>
      </c>
      <c r="E48" s="18">
        <v>219</v>
      </c>
      <c r="F48" s="18">
        <v>120</v>
      </c>
      <c r="G48" s="18"/>
      <c r="H48" s="19"/>
    </row>
    <row r="49" spans="1:9">
      <c r="A49">
        <v>225</v>
      </c>
      <c r="B49">
        <v>3.8</v>
      </c>
      <c r="C49">
        <v>43.5</v>
      </c>
      <c r="D49" t="s">
        <v>90</v>
      </c>
      <c r="E49">
        <v>225</v>
      </c>
      <c r="F49">
        <v>120.5</v>
      </c>
    </row>
    <row r="50" spans="1:9">
      <c r="A50">
        <v>230</v>
      </c>
      <c r="B50">
        <v>3.8</v>
      </c>
      <c r="C50">
        <v>44</v>
      </c>
      <c r="D50" t="s">
        <v>90</v>
      </c>
      <c r="E50">
        <v>230</v>
      </c>
      <c r="F50">
        <v>121</v>
      </c>
    </row>
    <row r="58" spans="1:9">
      <c r="I58" t="s">
        <v>91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O37" sqref="O37"/>
    </sheetView>
  </sheetViews>
  <sheetFormatPr defaultColWidth="9" defaultRowHeight="14.2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E22"/>
  <sheetViews>
    <sheetView zoomScale="190" zoomScaleNormal="190" topLeftCell="A2" workbookViewId="0">
      <selection activeCell="D22" sqref="D22"/>
    </sheetView>
  </sheetViews>
  <sheetFormatPr defaultColWidth="9" defaultRowHeight="14.25" outlineLevelCol="4"/>
  <cols>
    <col min="3" max="3" width="12.5583333333333" customWidth="1"/>
    <col min="4" max="4" width="26.6416666666667" customWidth="1"/>
  </cols>
  <sheetData>
    <row r="6" spans="2:5">
      <c r="B6" s="10" t="s">
        <v>15</v>
      </c>
      <c r="C6" s="10" t="s">
        <v>92</v>
      </c>
      <c r="D6" s="10" t="s">
        <v>93</v>
      </c>
    </row>
    <row r="7" spans="2:5">
      <c r="B7" s="25">
        <v>1.5</v>
      </c>
      <c r="C7" s="26">
        <v>62</v>
      </c>
      <c r="D7" s="13">
        <v>7.5</v>
      </c>
    </row>
    <row r="8" spans="2:5">
      <c r="B8" s="27">
        <v>1.6</v>
      </c>
      <c r="C8" s="28">
        <v>56</v>
      </c>
      <c r="D8" s="17">
        <v>7</v>
      </c>
      <c r="E8">
        <v>6</v>
      </c>
    </row>
    <row r="9" spans="2:5">
      <c r="B9" s="27">
        <v>1.7</v>
      </c>
      <c r="C9" s="28">
        <v>50</v>
      </c>
      <c r="D9" s="17">
        <v>7</v>
      </c>
      <c r="E9">
        <v>6</v>
      </c>
    </row>
    <row r="10" spans="2:5">
      <c r="B10" s="27">
        <v>1.8</v>
      </c>
      <c r="C10" s="28">
        <v>46.5</v>
      </c>
      <c r="D10" s="17">
        <v>7</v>
      </c>
      <c r="E10">
        <v>3.5</v>
      </c>
    </row>
    <row r="11" spans="2:5">
      <c r="B11" s="25">
        <v>1.9</v>
      </c>
      <c r="C11" s="26">
        <v>43</v>
      </c>
      <c r="D11" s="13">
        <v>6.5</v>
      </c>
      <c r="E11">
        <v>2.5</v>
      </c>
    </row>
    <row r="12" spans="2:5">
      <c r="B12" s="25">
        <v>2</v>
      </c>
      <c r="C12" s="26">
        <v>40</v>
      </c>
      <c r="D12" s="13">
        <v>6.5</v>
      </c>
      <c r="E12">
        <v>3</v>
      </c>
    </row>
    <row r="13" spans="2:5">
      <c r="B13" s="27">
        <v>2.1</v>
      </c>
      <c r="C13" s="26">
        <v>38</v>
      </c>
      <c r="D13" s="13">
        <v>7</v>
      </c>
      <c r="E13">
        <v>2</v>
      </c>
    </row>
    <row r="14" spans="2:5">
      <c r="B14" s="27">
        <v>2.2</v>
      </c>
      <c r="C14" s="26">
        <v>35.5</v>
      </c>
      <c r="D14" s="13">
        <v>6.5</v>
      </c>
      <c r="E14">
        <v>2.5</v>
      </c>
    </row>
    <row r="15" spans="2:5">
      <c r="B15" s="27">
        <v>2.3</v>
      </c>
      <c r="C15" s="26">
        <v>33.5</v>
      </c>
      <c r="D15" s="13">
        <v>6.5</v>
      </c>
      <c r="E15">
        <v>2</v>
      </c>
    </row>
    <row r="16" spans="2:5">
      <c r="B16" s="25">
        <v>2.4</v>
      </c>
      <c r="C16" s="26">
        <v>32</v>
      </c>
      <c r="D16" s="13">
        <v>7</v>
      </c>
      <c r="E16">
        <v>1.5</v>
      </c>
    </row>
    <row r="17" spans="2:5">
      <c r="B17" s="25">
        <v>2.5</v>
      </c>
      <c r="C17" s="26">
        <v>30.5</v>
      </c>
      <c r="D17" s="13">
        <v>6</v>
      </c>
      <c r="E17">
        <v>1.5</v>
      </c>
    </row>
    <row r="18" spans="2:5">
      <c r="B18" s="27">
        <v>2.7</v>
      </c>
      <c r="C18" s="13">
        <v>28.5</v>
      </c>
      <c r="D18" s="13">
        <v>6</v>
      </c>
      <c r="E18">
        <v>1.5</v>
      </c>
    </row>
    <row r="19" spans="2:5">
      <c r="B19" s="25">
        <v>2.9</v>
      </c>
      <c r="C19" s="13">
        <v>26.5</v>
      </c>
      <c r="D19" s="13">
        <v>6.5</v>
      </c>
      <c r="E19">
        <v>2</v>
      </c>
    </row>
    <row r="20" spans="2:5">
      <c r="B20" s="27">
        <v>3.1</v>
      </c>
      <c r="C20" s="13">
        <v>25</v>
      </c>
      <c r="D20" s="13">
        <v>6.5</v>
      </c>
      <c r="E20">
        <v>1.5</v>
      </c>
    </row>
    <row r="21" spans="2:5">
      <c r="B21" s="27">
        <v>3.5</v>
      </c>
      <c r="C21">
        <v>22.5</v>
      </c>
      <c r="D21">
        <v>7</v>
      </c>
      <c r="E21">
        <v>2.5</v>
      </c>
    </row>
    <row r="22" spans="2:5">
      <c r="B22" s="27">
        <v>3.8</v>
      </c>
      <c r="C22">
        <v>20.5</v>
      </c>
      <c r="D22">
        <v>7</v>
      </c>
      <c r="E22">
        <v>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J30"/>
  <sheetViews>
    <sheetView zoomScale="220" zoomScaleNormal="220" topLeftCell="A13" workbookViewId="0">
      <selection activeCell="B6" sqref="B6:F30"/>
    </sheetView>
  </sheetViews>
  <sheetFormatPr defaultColWidth="9" defaultRowHeight="14.25"/>
  <cols>
    <col min="3" max="3" width="15.45" customWidth="1"/>
    <col min="4" max="4" width="16.3666666666667" customWidth="1"/>
    <col min="5" max="5" width="11.125" customWidth="1"/>
    <col min="6" max="7" width="16.3666666666667" customWidth="1"/>
    <col min="9" max="9" width="15.675" customWidth="1"/>
    <col min="10" max="10" width="13.8666666666667" customWidth="1"/>
  </cols>
  <sheetData>
    <row r="5" spans="2:10">
      <c r="E5" t="s">
        <v>94</v>
      </c>
      <c r="F5" t="s">
        <v>95</v>
      </c>
      <c r="G5" t="s">
        <v>96</v>
      </c>
    </row>
    <row r="6" spans="2:10">
      <c r="B6" s="10" t="s">
        <v>15</v>
      </c>
      <c r="C6" s="10" t="s">
        <v>97</v>
      </c>
      <c r="D6" s="10" t="s">
        <v>98</v>
      </c>
      <c r="E6" s="1"/>
      <c r="F6" s="1"/>
      <c r="G6" s="1"/>
      <c r="H6" t="s">
        <v>99</v>
      </c>
      <c r="I6" s="10" t="s">
        <v>97</v>
      </c>
      <c r="J6" s="10" t="s">
        <v>98</v>
      </c>
    </row>
    <row r="7" spans="2:10">
      <c r="B7" s="25">
        <v>1.5</v>
      </c>
      <c r="C7" s="26">
        <v>16</v>
      </c>
      <c r="D7" s="13">
        <v>22</v>
      </c>
      <c r="H7">
        <v>23</v>
      </c>
      <c r="J7">
        <v>10</v>
      </c>
    </row>
    <row r="8" spans="2:10">
      <c r="B8" s="27">
        <v>1.6</v>
      </c>
      <c r="C8" s="28">
        <v>16.5</v>
      </c>
      <c r="D8" s="17">
        <v>15</v>
      </c>
      <c r="E8" s="1"/>
      <c r="F8" s="1"/>
      <c r="G8" s="1"/>
      <c r="H8">
        <v>24</v>
      </c>
      <c r="J8">
        <v>15</v>
      </c>
    </row>
    <row r="9" spans="2:10">
      <c r="B9" s="27">
        <v>1.7</v>
      </c>
      <c r="C9" s="28">
        <v>14</v>
      </c>
      <c r="D9" s="17">
        <v>19</v>
      </c>
      <c r="E9" s="1"/>
      <c r="F9" s="1"/>
      <c r="G9" s="1"/>
      <c r="H9">
        <v>25</v>
      </c>
      <c r="J9">
        <v>19</v>
      </c>
    </row>
    <row r="10" spans="2:10">
      <c r="B10" s="27">
        <v>1.8</v>
      </c>
      <c r="C10" s="28">
        <v>22</v>
      </c>
      <c r="D10" s="17">
        <v>18.5</v>
      </c>
      <c r="E10" s="1"/>
      <c r="F10" s="1">
        <v>26</v>
      </c>
      <c r="G10" s="1"/>
      <c r="H10" s="1">
        <v>26</v>
      </c>
      <c r="I10">
        <v>22</v>
      </c>
      <c r="J10">
        <v>19</v>
      </c>
    </row>
    <row r="11" spans="2:10">
      <c r="B11" s="25">
        <v>1.9</v>
      </c>
      <c r="C11" s="26">
        <v>26</v>
      </c>
      <c r="D11" s="13">
        <v>21</v>
      </c>
      <c r="F11">
        <v>27</v>
      </c>
      <c r="H11">
        <v>27</v>
      </c>
      <c r="I11">
        <v>22.65</v>
      </c>
      <c r="J11">
        <v>21</v>
      </c>
    </row>
    <row r="12" spans="2:10">
      <c r="B12" s="25">
        <v>2</v>
      </c>
      <c r="C12" s="26"/>
      <c r="D12" s="13">
        <v>22.5</v>
      </c>
      <c r="F12">
        <v>28</v>
      </c>
      <c r="H12">
        <v>28</v>
      </c>
      <c r="J12">
        <v>22.5</v>
      </c>
    </row>
    <row r="13" spans="2:10">
      <c r="B13" s="27">
        <v>2.1</v>
      </c>
      <c r="C13" s="26">
        <v>29.8</v>
      </c>
      <c r="D13" s="13">
        <v>23.2</v>
      </c>
      <c r="F13">
        <v>29</v>
      </c>
      <c r="G13">
        <v>29</v>
      </c>
      <c r="H13">
        <v>29</v>
      </c>
      <c r="J13">
        <v>23</v>
      </c>
    </row>
    <row r="14" spans="2:10">
      <c r="B14" s="27">
        <v>2.2</v>
      </c>
      <c r="C14" s="26"/>
      <c r="D14" s="13">
        <v>23.2</v>
      </c>
      <c r="F14">
        <v>29.5</v>
      </c>
      <c r="H14">
        <v>29.5</v>
      </c>
    </row>
    <row r="15" spans="2:10">
      <c r="B15" s="27">
        <v>2.3</v>
      </c>
      <c r="C15" s="26">
        <v>31</v>
      </c>
      <c r="D15" s="13">
        <v>24.2</v>
      </c>
      <c r="F15">
        <v>30</v>
      </c>
      <c r="H15">
        <v>30</v>
      </c>
      <c r="J15">
        <v>24</v>
      </c>
    </row>
    <row r="16" spans="2:10">
      <c r="B16" s="25">
        <v>2.4</v>
      </c>
      <c r="C16" s="26"/>
      <c r="D16" s="13"/>
      <c r="H16">
        <v>30.25</v>
      </c>
    </row>
    <row r="17" spans="2:10">
      <c r="B17" s="25">
        <v>2.5</v>
      </c>
      <c r="C17" s="26">
        <v>34.2</v>
      </c>
      <c r="D17" s="13">
        <v>24.4</v>
      </c>
      <c r="F17">
        <v>30.5</v>
      </c>
      <c r="H17">
        <v>30.5</v>
      </c>
      <c r="J17">
        <v>24.5</v>
      </c>
    </row>
    <row r="18" spans="2:10">
      <c r="B18" s="27">
        <v>2.6</v>
      </c>
      <c r="C18" s="13"/>
      <c r="D18" s="13"/>
      <c r="H18">
        <v>30.75</v>
      </c>
    </row>
    <row r="19" spans="2:10">
      <c r="B19" s="25">
        <v>2.7</v>
      </c>
      <c r="C19" s="13">
        <v>37.4</v>
      </c>
      <c r="D19" s="13">
        <v>25.8</v>
      </c>
      <c r="F19">
        <v>31</v>
      </c>
      <c r="H19">
        <v>31</v>
      </c>
      <c r="J19">
        <v>25.5</v>
      </c>
    </row>
    <row r="20" spans="2:10">
      <c r="B20" s="25">
        <v>2.8</v>
      </c>
      <c r="C20" s="13"/>
      <c r="D20" s="13"/>
      <c r="H20">
        <v>31.5</v>
      </c>
    </row>
    <row r="21" spans="2:10">
      <c r="B21" s="27">
        <v>2.9</v>
      </c>
      <c r="C21">
        <v>38.8</v>
      </c>
      <c r="D21">
        <v>25.8</v>
      </c>
      <c r="F21">
        <v>32</v>
      </c>
      <c r="G21">
        <v>32</v>
      </c>
      <c r="H21">
        <v>32</v>
      </c>
      <c r="J21">
        <v>26</v>
      </c>
    </row>
    <row r="22" spans="2:10">
      <c r="B22" s="25">
        <v>3</v>
      </c>
      <c r="H22">
        <v>32.5</v>
      </c>
    </row>
    <row r="23" spans="2:10">
      <c r="B23" s="25">
        <v>3.1</v>
      </c>
      <c r="C23">
        <v>41.2</v>
      </c>
      <c r="D23">
        <v>26.2</v>
      </c>
      <c r="F23">
        <v>33</v>
      </c>
      <c r="H23">
        <v>33</v>
      </c>
      <c r="J23">
        <v>26</v>
      </c>
    </row>
    <row r="24" spans="2:10">
      <c r="B24" s="27">
        <v>3.2</v>
      </c>
      <c r="H24">
        <v>33.25</v>
      </c>
    </row>
    <row r="25" spans="2:10">
      <c r="B25" s="25">
        <v>3.3</v>
      </c>
      <c r="C25">
        <v>43</v>
      </c>
      <c r="D25">
        <v>26.6</v>
      </c>
      <c r="F25">
        <v>33.5</v>
      </c>
      <c r="H25">
        <v>33.5</v>
      </c>
      <c r="J25">
        <v>26.5</v>
      </c>
    </row>
    <row r="26" spans="2:10">
      <c r="B26" s="25">
        <v>3.4</v>
      </c>
      <c r="H26">
        <v>33.75</v>
      </c>
    </row>
    <row r="27" spans="2:10">
      <c r="B27" s="27">
        <v>3.5</v>
      </c>
      <c r="C27">
        <v>47</v>
      </c>
      <c r="D27">
        <v>27.6</v>
      </c>
      <c r="F27">
        <v>34</v>
      </c>
      <c r="H27">
        <v>34</v>
      </c>
      <c r="J27">
        <v>27.5</v>
      </c>
    </row>
    <row r="28" spans="2:10">
      <c r="B28" s="25">
        <v>3.6</v>
      </c>
      <c r="H28">
        <v>34.25</v>
      </c>
    </row>
    <row r="29" spans="2:10">
      <c r="B29" s="25">
        <v>3.7</v>
      </c>
      <c r="C29">
        <v>32.8</v>
      </c>
      <c r="D29">
        <v>28.2</v>
      </c>
      <c r="F29">
        <v>34</v>
      </c>
      <c r="H29">
        <v>34.5</v>
      </c>
      <c r="I29">
        <v>34</v>
      </c>
      <c r="J29">
        <v>28</v>
      </c>
    </row>
    <row r="30" spans="2:10">
      <c r="B30" s="27">
        <v>3.8</v>
      </c>
      <c r="C30">
        <v>35.2</v>
      </c>
      <c r="D30">
        <v>28.5</v>
      </c>
      <c r="F30">
        <v>35</v>
      </c>
      <c r="H30">
        <v>35</v>
      </c>
      <c r="I30">
        <v>35</v>
      </c>
      <c r="J30">
        <v>28.5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61"/>
  <sheetViews>
    <sheetView zoomScale="175" zoomScaleNormal="175" topLeftCell="A37" workbookViewId="0">
      <selection activeCell="E59" sqref="E59"/>
    </sheetView>
  </sheetViews>
  <sheetFormatPr defaultColWidth="9" defaultRowHeight="14.25"/>
  <cols>
    <col min="2" max="2" width="27.8333333333333" customWidth="1"/>
    <col min="3" max="3" width="13.575" customWidth="1"/>
    <col min="4" max="4" width="11.5833333333333" customWidth="1"/>
    <col min="5" max="5" width="11.8166666666667" customWidth="1"/>
    <col min="6" max="7" width="12.125" customWidth="1"/>
    <col min="9" max="9" width="22.275" customWidth="1"/>
  </cols>
  <sheetData>
    <row r="3" spans="1:10">
      <c r="B3" s="10" t="s">
        <v>100</v>
      </c>
    </row>
    <row r="4" spans="1:10">
      <c r="B4" s="10" t="s">
        <v>15</v>
      </c>
      <c r="C4" t="s">
        <v>101</v>
      </c>
      <c r="D4" s="10" t="s">
        <v>102</v>
      </c>
      <c r="E4" s="1" t="s">
        <v>103</v>
      </c>
      <c r="F4" s="1" t="s">
        <v>104</v>
      </c>
    </row>
    <row r="5" spans="1:10">
      <c r="B5" s="25">
        <v>1.5</v>
      </c>
      <c r="C5" s="26"/>
      <c r="D5" s="13"/>
      <c r="J5" s="25"/>
    </row>
    <row r="6" spans="1:10">
      <c r="B6" s="27">
        <v>1.6</v>
      </c>
      <c r="C6" s="28">
        <v>16</v>
      </c>
      <c r="D6" s="17">
        <v>26</v>
      </c>
      <c r="E6" s="1">
        <v>31.1</v>
      </c>
      <c r="G6">
        <v>0.12</v>
      </c>
      <c r="I6" t="s">
        <v>105</v>
      </c>
      <c r="J6" s="27"/>
    </row>
    <row r="7" spans="1:10">
      <c r="B7" s="27">
        <v>1.7</v>
      </c>
      <c r="C7" s="28">
        <v>22.3</v>
      </c>
      <c r="D7" s="17">
        <v>31.3</v>
      </c>
      <c r="E7" s="1">
        <v>39</v>
      </c>
      <c r="G7">
        <v>0.14</v>
      </c>
      <c r="J7" s="27"/>
    </row>
    <row r="8" spans="1:10">
      <c r="A8" t="s">
        <v>106</v>
      </c>
      <c r="B8" s="27">
        <v>1.8</v>
      </c>
      <c r="C8" s="28">
        <v>26.8</v>
      </c>
      <c r="D8" s="17">
        <v>38</v>
      </c>
      <c r="E8" s="1">
        <v>50.4</v>
      </c>
      <c r="F8">
        <v>8</v>
      </c>
      <c r="G8">
        <v>0.16</v>
      </c>
      <c r="J8" s="27"/>
    </row>
    <row r="9" spans="1:10">
      <c r="B9" s="25">
        <v>1.9</v>
      </c>
      <c r="C9" s="26">
        <v>32.8</v>
      </c>
      <c r="D9" s="13">
        <v>46.2</v>
      </c>
      <c r="E9">
        <v>61.6</v>
      </c>
      <c r="F9">
        <v>16</v>
      </c>
      <c r="G9">
        <v>0.32</v>
      </c>
      <c r="J9" s="25"/>
    </row>
    <row r="10" spans="1:10">
      <c r="B10" s="25">
        <v>2</v>
      </c>
      <c r="C10" s="26">
        <v>37.8</v>
      </c>
      <c r="D10" s="13">
        <v>56</v>
      </c>
      <c r="E10">
        <v>72</v>
      </c>
      <c r="F10">
        <v>17</v>
      </c>
      <c r="G10">
        <v>0.34</v>
      </c>
      <c r="J10" s="25"/>
    </row>
    <row r="11" spans="1:10">
      <c r="B11" s="27">
        <v>2.1</v>
      </c>
      <c r="C11" s="26">
        <v>43</v>
      </c>
      <c r="D11" s="13">
        <v>63</v>
      </c>
      <c r="E11">
        <v>85.8</v>
      </c>
      <c r="F11">
        <v>21</v>
      </c>
      <c r="G11">
        <v>0.42</v>
      </c>
      <c r="J11" s="27"/>
    </row>
    <row r="12" spans="1:10">
      <c r="B12" s="27">
        <v>2.2</v>
      </c>
      <c r="C12" s="26">
        <v>48</v>
      </c>
      <c r="D12" s="13">
        <v>70.1</v>
      </c>
      <c r="E12">
        <v>93</v>
      </c>
      <c r="F12">
        <v>22</v>
      </c>
      <c r="G12">
        <v>0.44</v>
      </c>
      <c r="J12" s="27"/>
    </row>
    <row r="13" spans="1:10">
      <c r="B13" s="27">
        <v>2.3</v>
      </c>
      <c r="C13" s="26">
        <v>53.5</v>
      </c>
      <c r="D13" s="13">
        <v>80</v>
      </c>
      <c r="E13">
        <v>108.8</v>
      </c>
      <c r="F13">
        <v>27</v>
      </c>
      <c r="G13">
        <v>0.54</v>
      </c>
      <c r="J13" s="27"/>
    </row>
    <row r="14" spans="1:10">
      <c r="B14" s="25">
        <v>2.4</v>
      </c>
      <c r="C14" s="26">
        <v>60</v>
      </c>
      <c r="D14" s="13">
        <v>89</v>
      </c>
      <c r="E14">
        <v>121</v>
      </c>
      <c r="F14">
        <v>31</v>
      </c>
      <c r="G14">
        <v>0.62</v>
      </c>
      <c r="J14" s="25"/>
    </row>
    <row r="15" spans="1:10">
      <c r="B15" s="25">
        <v>2.5</v>
      </c>
      <c r="C15" s="26">
        <v>66.4</v>
      </c>
      <c r="D15" s="13">
        <v>100.2</v>
      </c>
      <c r="E15">
        <v>132.7</v>
      </c>
      <c r="F15">
        <v>34</v>
      </c>
      <c r="G15">
        <v>0.68</v>
      </c>
      <c r="J15" s="25"/>
    </row>
    <row r="16" spans="1:10">
      <c r="B16" s="27">
        <v>2.6</v>
      </c>
      <c r="C16" s="13">
        <v>72</v>
      </c>
      <c r="D16" s="13">
        <v>110</v>
      </c>
      <c r="E16">
        <v>146</v>
      </c>
      <c r="F16">
        <v>36</v>
      </c>
      <c r="G16">
        <v>0.72</v>
      </c>
      <c r="J16" s="27"/>
    </row>
    <row r="17" spans="2:11">
      <c r="B17" s="25">
        <v>2.7</v>
      </c>
      <c r="C17" s="13">
        <v>78</v>
      </c>
      <c r="D17" s="13">
        <v>118</v>
      </c>
      <c r="E17">
        <v>158.4</v>
      </c>
      <c r="F17">
        <v>40</v>
      </c>
      <c r="G17">
        <v>0.8</v>
      </c>
      <c r="J17" s="25"/>
    </row>
    <row r="18" spans="2:11">
      <c r="B18" s="25">
        <v>2.8</v>
      </c>
      <c r="C18" s="13">
        <v>84</v>
      </c>
      <c r="D18" s="13">
        <v>127</v>
      </c>
      <c r="E18">
        <v>170</v>
      </c>
      <c r="F18">
        <v>43</v>
      </c>
      <c r="G18">
        <v>0.86</v>
      </c>
      <c r="J18" s="25"/>
    </row>
    <row r="19" spans="2:11">
      <c r="B19" s="27">
        <v>2.9</v>
      </c>
      <c r="C19">
        <v>90.5</v>
      </c>
      <c r="D19">
        <v>136</v>
      </c>
      <c r="E19">
        <v>182</v>
      </c>
      <c r="F19">
        <v>46</v>
      </c>
      <c r="G19">
        <v>0.92</v>
      </c>
      <c r="J19" s="27"/>
    </row>
    <row r="20" spans="2:11">
      <c r="B20" s="25">
        <v>3</v>
      </c>
      <c r="C20">
        <v>98</v>
      </c>
      <c r="D20">
        <v>146</v>
      </c>
      <c r="E20">
        <v>197</v>
      </c>
      <c r="F20">
        <v>49</v>
      </c>
      <c r="G20">
        <v>0.98</v>
      </c>
      <c r="J20" s="25"/>
    </row>
    <row r="21" spans="2:11">
      <c r="B21" s="25">
        <v>3.1</v>
      </c>
      <c r="C21">
        <v>104</v>
      </c>
      <c r="D21">
        <v>155</v>
      </c>
      <c r="E21">
        <v>206</v>
      </c>
      <c r="F21">
        <v>50</v>
      </c>
      <c r="G21">
        <v>1.02</v>
      </c>
      <c r="J21" s="25"/>
    </row>
    <row r="22" spans="2:11">
      <c r="B22" s="27">
        <v>3.2</v>
      </c>
      <c r="C22" s="1">
        <v>118</v>
      </c>
      <c r="D22" s="1">
        <v>174</v>
      </c>
      <c r="E22" s="1">
        <v>228</v>
      </c>
      <c r="F22" s="1">
        <v>55</v>
      </c>
      <c r="G22" s="1">
        <v>1.08</v>
      </c>
      <c r="H22" s="1" t="s">
        <v>107</v>
      </c>
      <c r="J22" s="27"/>
      <c r="K22" s="1"/>
    </row>
    <row r="23" spans="2:11">
      <c r="B23" s="25">
        <v>3.3</v>
      </c>
      <c r="C23">
        <v>125</v>
      </c>
      <c r="D23">
        <v>183</v>
      </c>
      <c r="E23">
        <v>245</v>
      </c>
      <c r="F23">
        <v>58</v>
      </c>
      <c r="G23">
        <v>1.16</v>
      </c>
      <c r="J23" s="25"/>
    </row>
    <row r="24" spans="2:11">
      <c r="B24" s="25">
        <v>3.4</v>
      </c>
      <c r="C24">
        <v>132</v>
      </c>
      <c r="D24">
        <v>194</v>
      </c>
      <c r="E24">
        <v>257</v>
      </c>
      <c r="F24">
        <v>62</v>
      </c>
      <c r="G24">
        <v>1.24</v>
      </c>
      <c r="J24" s="25"/>
    </row>
    <row r="25" spans="2:11">
      <c r="B25" s="27">
        <v>3.5</v>
      </c>
      <c r="C25">
        <v>140</v>
      </c>
      <c r="D25">
        <v>207</v>
      </c>
      <c r="E25">
        <v>272</v>
      </c>
      <c r="F25">
        <v>66</v>
      </c>
      <c r="G25">
        <v>1.32</v>
      </c>
      <c r="J25" s="27"/>
    </row>
    <row r="26" spans="2:11">
      <c r="B26" s="25">
        <v>3.6</v>
      </c>
      <c r="C26">
        <v>146</v>
      </c>
      <c r="D26">
        <v>214</v>
      </c>
      <c r="E26">
        <v>282</v>
      </c>
      <c r="F26">
        <v>68</v>
      </c>
      <c r="G26">
        <v>1.37</v>
      </c>
      <c r="J26" s="25"/>
    </row>
    <row r="27" spans="2:11">
      <c r="B27" s="25">
        <v>3.7</v>
      </c>
      <c r="C27">
        <v>155</v>
      </c>
      <c r="D27">
        <v>223</v>
      </c>
      <c r="E27">
        <v>297</v>
      </c>
      <c r="F27">
        <v>71</v>
      </c>
      <c r="G27">
        <v>1.42</v>
      </c>
      <c r="J27" s="25"/>
    </row>
    <row r="28" spans="2:11">
      <c r="B28" s="27">
        <v>3.8</v>
      </c>
      <c r="C28">
        <v>162</v>
      </c>
      <c r="D28">
        <v>237</v>
      </c>
      <c r="E28">
        <v>310</v>
      </c>
      <c r="F28">
        <v>75</v>
      </c>
      <c r="G28">
        <v>1.5</v>
      </c>
      <c r="J28" s="27"/>
    </row>
    <row r="29" spans="2:11">
      <c r="B29">
        <v>3.9</v>
      </c>
    </row>
    <row r="30" spans="2:11">
      <c r="B30" s="15">
        <v>4</v>
      </c>
      <c r="C30">
        <v>163</v>
      </c>
    </row>
    <row r="31" spans="2:11">
      <c r="B31" t="s">
        <v>108</v>
      </c>
    </row>
    <row r="32" spans="2:11">
      <c r="B32" s="10" t="s">
        <v>100</v>
      </c>
      <c r="C32" t="s">
        <v>109</v>
      </c>
      <c r="D32" t="s">
        <v>109</v>
      </c>
      <c r="E32" t="s">
        <v>104</v>
      </c>
      <c r="H32" t="s">
        <v>110</v>
      </c>
      <c r="I32" t="s">
        <v>111</v>
      </c>
      <c r="J32">
        <v>22</v>
      </c>
    </row>
    <row r="33" spans="2:10">
      <c r="B33" s="10" t="s">
        <v>15</v>
      </c>
      <c r="C33">
        <v>100</v>
      </c>
      <c r="D33">
        <v>150</v>
      </c>
      <c r="F33" t="s">
        <v>112</v>
      </c>
      <c r="H33" s="10"/>
      <c r="I33" s="1"/>
      <c r="J33" s="1"/>
    </row>
    <row r="34" spans="2:10">
      <c r="B34" s="25">
        <v>1.5</v>
      </c>
      <c r="C34" s="26"/>
      <c r="H34" s="13"/>
    </row>
    <row r="35" spans="2:10">
      <c r="B35" s="27">
        <v>1.6</v>
      </c>
      <c r="C35" s="28"/>
      <c r="H35" s="17"/>
      <c r="I35" s="1"/>
    </row>
    <row r="36" spans="2:10">
      <c r="B36" s="27">
        <v>1.7</v>
      </c>
      <c r="C36" s="28"/>
      <c r="H36" s="17"/>
      <c r="I36" s="1"/>
    </row>
    <row r="37" spans="2:10">
      <c r="B37" s="27">
        <v>1.8</v>
      </c>
      <c r="C37" s="28">
        <v>26</v>
      </c>
      <c r="D37">
        <v>38</v>
      </c>
      <c r="E37">
        <v>0.22</v>
      </c>
      <c r="H37" s="17">
        <v>28</v>
      </c>
      <c r="I37" s="1"/>
      <c r="J37">
        <v>23</v>
      </c>
    </row>
    <row r="38" spans="2:10">
      <c r="B38" s="25">
        <v>1.9</v>
      </c>
      <c r="C38" s="26">
        <v>32</v>
      </c>
      <c r="D38">
        <v>46</v>
      </c>
      <c r="E38">
        <v>0.28</v>
      </c>
      <c r="H38" s="13"/>
    </row>
    <row r="39" spans="2:10">
      <c r="B39" s="25">
        <v>2</v>
      </c>
      <c r="C39" s="26">
        <v>38</v>
      </c>
      <c r="D39">
        <v>55</v>
      </c>
      <c r="E39">
        <v>0.36</v>
      </c>
      <c r="H39" s="13"/>
    </row>
    <row r="40" spans="2:10">
      <c r="B40" s="27">
        <v>2.1</v>
      </c>
      <c r="C40" s="26">
        <v>44</v>
      </c>
      <c r="D40">
        <v>64</v>
      </c>
      <c r="E40">
        <v>0.44</v>
      </c>
      <c r="H40" s="13"/>
    </row>
    <row r="41" spans="2:10">
      <c r="B41" s="27">
        <v>2.2</v>
      </c>
      <c r="C41" s="26">
        <v>50</v>
      </c>
      <c r="D41">
        <v>73</v>
      </c>
      <c r="E41">
        <v>0.52</v>
      </c>
      <c r="H41" s="13"/>
    </row>
    <row r="42" spans="2:10">
      <c r="B42" s="27">
        <v>2.3</v>
      </c>
      <c r="C42" s="26">
        <v>56</v>
      </c>
      <c r="D42">
        <v>82</v>
      </c>
      <c r="E42" s="8">
        <v>0.58</v>
      </c>
      <c r="H42" s="13">
        <v>56</v>
      </c>
      <c r="I42">
        <v>42.7</v>
      </c>
      <c r="J42">
        <v>48</v>
      </c>
    </row>
    <row r="43" spans="2:10">
      <c r="B43" s="25">
        <v>2.4</v>
      </c>
      <c r="C43" s="26">
        <v>62</v>
      </c>
      <c r="D43">
        <v>92</v>
      </c>
      <c r="E43">
        <v>0.66</v>
      </c>
      <c r="H43" s="13"/>
    </row>
    <row r="44" spans="2:10">
      <c r="B44" s="25">
        <v>2.5</v>
      </c>
      <c r="C44" s="29">
        <v>68</v>
      </c>
      <c r="D44">
        <v>102</v>
      </c>
      <c r="E44">
        <v>0.7</v>
      </c>
      <c r="H44" s="13"/>
    </row>
    <row r="45" spans="2:10">
      <c r="B45" s="27">
        <v>2.6</v>
      </c>
      <c r="C45" s="13">
        <v>74</v>
      </c>
      <c r="D45">
        <v>111</v>
      </c>
      <c r="E45">
        <v>0.78</v>
      </c>
      <c r="H45" s="13"/>
    </row>
    <row r="46" spans="2:10">
      <c r="B46" s="25">
        <v>2.7</v>
      </c>
      <c r="C46" s="13">
        <v>80</v>
      </c>
      <c r="D46">
        <v>120</v>
      </c>
      <c r="E46">
        <v>0.83</v>
      </c>
      <c r="H46" s="13"/>
    </row>
    <row r="47" spans="2:10">
      <c r="B47" s="25">
        <v>2.8</v>
      </c>
      <c r="C47" s="13">
        <v>86</v>
      </c>
      <c r="D47">
        <v>130</v>
      </c>
      <c r="E47">
        <v>0.88</v>
      </c>
      <c r="H47" s="13"/>
    </row>
    <row r="48" spans="2:10">
      <c r="B48" s="27">
        <v>2.9</v>
      </c>
      <c r="C48">
        <v>93</v>
      </c>
      <c r="D48">
        <v>140</v>
      </c>
      <c r="E48">
        <v>0.94</v>
      </c>
      <c r="H48">
        <v>92</v>
      </c>
      <c r="J48">
        <v>82</v>
      </c>
    </row>
    <row r="49" spans="2:10">
      <c r="B49" s="25">
        <v>3</v>
      </c>
      <c r="C49">
        <v>99</v>
      </c>
      <c r="D49">
        <v>150</v>
      </c>
      <c r="E49">
        <v>1.02</v>
      </c>
    </row>
    <row r="50" spans="2:10">
      <c r="B50" s="25">
        <v>3.1</v>
      </c>
      <c r="C50">
        <v>106</v>
      </c>
      <c r="D50">
        <v>160</v>
      </c>
      <c r="E50">
        <v>1.08</v>
      </c>
    </row>
    <row r="51" spans="2:10">
      <c r="B51" s="27">
        <v>3.2</v>
      </c>
      <c r="C51" s="1">
        <v>113</v>
      </c>
      <c r="D51">
        <v>170</v>
      </c>
      <c r="E51">
        <v>1.14</v>
      </c>
      <c r="H51" s="1">
        <v>112</v>
      </c>
      <c r="I51" s="1">
        <v>92</v>
      </c>
      <c r="J51" s="1">
        <v>101</v>
      </c>
    </row>
    <row r="52" spans="2:10">
      <c r="B52" s="25">
        <v>3.3</v>
      </c>
      <c r="C52">
        <v>120</v>
      </c>
      <c r="D52">
        <v>180</v>
      </c>
      <c r="E52">
        <v>1.2</v>
      </c>
    </row>
    <row r="53" spans="2:10">
      <c r="B53" s="25">
        <v>3.4</v>
      </c>
      <c r="C53">
        <v>127</v>
      </c>
      <c r="D53">
        <v>190</v>
      </c>
      <c r="E53">
        <v>1.26</v>
      </c>
    </row>
    <row r="54" spans="2:10">
      <c r="B54" s="27">
        <v>3.5</v>
      </c>
      <c r="C54">
        <v>134</v>
      </c>
      <c r="D54">
        <v>200</v>
      </c>
      <c r="E54">
        <v>1.34</v>
      </c>
    </row>
    <row r="55" spans="2:10">
      <c r="B55" s="25">
        <v>3.6</v>
      </c>
      <c r="C55">
        <v>141</v>
      </c>
      <c r="D55">
        <v>210</v>
      </c>
      <c r="E55">
        <v>1.38</v>
      </c>
    </row>
    <row r="56" spans="2:10">
      <c r="B56" s="25">
        <v>3.7</v>
      </c>
      <c r="C56">
        <v>147</v>
      </c>
      <c r="D56">
        <v>220</v>
      </c>
      <c r="E56">
        <v>1.46</v>
      </c>
    </row>
    <row r="57" spans="2:10">
      <c r="B57" s="27">
        <v>3.8</v>
      </c>
      <c r="C57">
        <v>154</v>
      </c>
      <c r="D57">
        <v>230</v>
      </c>
      <c r="E57">
        <v>1.52</v>
      </c>
    </row>
    <row r="58" spans="2:10">
      <c r="B58">
        <v>3.9</v>
      </c>
      <c r="C58">
        <v>161</v>
      </c>
      <c r="D58">
        <v>250</v>
      </c>
      <c r="E58">
        <v>1.78</v>
      </c>
    </row>
    <row r="59" spans="2:10">
      <c r="B59" s="15">
        <v>4</v>
      </c>
      <c r="C59">
        <v>168</v>
      </c>
      <c r="D59">
        <v>260</v>
      </c>
      <c r="E59">
        <v>1.84</v>
      </c>
      <c r="H59">
        <v>164</v>
      </c>
      <c r="I59">
        <v>140</v>
      </c>
      <c r="J59">
        <v>150</v>
      </c>
    </row>
    <row r="61" spans="2:10">
      <c r="B61" t="s">
        <v>113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30"/>
  <sheetViews>
    <sheetView zoomScale="205" zoomScaleNormal="205" topLeftCell="A5" workbookViewId="0">
      <selection activeCell="F23" sqref="F23"/>
    </sheetView>
  </sheetViews>
  <sheetFormatPr defaultColWidth="9" defaultRowHeight="14.25"/>
  <cols>
    <col min="2" max="2" width="12.8583333333333" customWidth="1"/>
    <col min="3" max="3" width="16.4583333333333" customWidth="1"/>
    <col min="7" max="7" width="12.4416666666667" customWidth="1"/>
    <col min="8" max="8" width="34.075" customWidth="1"/>
    <col min="10" max="10" width="18.7083333333333" customWidth="1"/>
  </cols>
  <sheetData>
    <row r="3" spans="2:9">
      <c r="B3" s="10" t="s">
        <v>114</v>
      </c>
      <c r="C3" t="s">
        <v>109</v>
      </c>
    </row>
    <row r="4" spans="2:9">
      <c r="B4" s="10" t="s">
        <v>15</v>
      </c>
      <c r="C4" t="s">
        <v>115</v>
      </c>
      <c r="E4" t="s">
        <v>116</v>
      </c>
      <c r="F4" t="s">
        <v>117</v>
      </c>
      <c r="G4" t="s">
        <v>118</v>
      </c>
    </row>
    <row r="5" spans="2:9">
      <c r="B5" s="25">
        <v>1.5</v>
      </c>
      <c r="C5" s="26"/>
      <c r="H5">
        <v>19</v>
      </c>
      <c r="I5" t="s">
        <v>119</v>
      </c>
    </row>
    <row r="6" spans="2:9">
      <c r="B6" s="27">
        <v>1.6</v>
      </c>
      <c r="C6" s="28"/>
      <c r="H6">
        <v>19.5</v>
      </c>
      <c r="I6" t="s">
        <v>119</v>
      </c>
    </row>
    <row r="7" spans="2:9">
      <c r="B7" s="27">
        <v>1.7</v>
      </c>
      <c r="C7" s="28"/>
      <c r="H7">
        <v>20</v>
      </c>
      <c r="I7" t="s">
        <v>119</v>
      </c>
    </row>
    <row r="8" spans="2:9">
      <c r="B8" s="27">
        <v>1.8</v>
      </c>
      <c r="C8" s="28">
        <v>92</v>
      </c>
      <c r="E8">
        <v>107.5</v>
      </c>
      <c r="F8">
        <v>24</v>
      </c>
      <c r="G8">
        <v>90.5</v>
      </c>
      <c r="H8">
        <v>20.5</v>
      </c>
    </row>
    <row r="9" spans="2:9">
      <c r="B9" s="25">
        <v>1.9</v>
      </c>
      <c r="C9" s="26">
        <v>95</v>
      </c>
      <c r="E9">
        <v>108</v>
      </c>
      <c r="F9">
        <v>29</v>
      </c>
      <c r="H9">
        <v>21.5</v>
      </c>
    </row>
    <row r="10" spans="2:9">
      <c r="B10" s="25">
        <v>2</v>
      </c>
      <c r="C10" s="26">
        <v>95</v>
      </c>
      <c r="E10">
        <v>109.5</v>
      </c>
      <c r="F10">
        <v>34</v>
      </c>
      <c r="H10">
        <v>23</v>
      </c>
    </row>
    <row r="11" spans="2:9">
      <c r="B11" s="27">
        <v>2.1</v>
      </c>
      <c r="C11" s="26"/>
      <c r="D11" t="s">
        <v>120</v>
      </c>
      <c r="E11">
        <v>110</v>
      </c>
      <c r="F11">
        <v>38</v>
      </c>
      <c r="H11">
        <v>23.5</v>
      </c>
    </row>
    <row r="12" spans="2:9">
      <c r="B12" s="27">
        <v>2.2</v>
      </c>
      <c r="C12" s="26"/>
      <c r="E12">
        <v>110.5</v>
      </c>
      <c r="F12">
        <v>43</v>
      </c>
      <c r="H12">
        <v>24</v>
      </c>
    </row>
    <row r="13" spans="2:9">
      <c r="B13" s="27">
        <v>2.3</v>
      </c>
      <c r="C13" s="26">
        <v>9</v>
      </c>
      <c r="E13">
        <v>111</v>
      </c>
      <c r="F13">
        <v>48</v>
      </c>
    </row>
    <row r="14" spans="2:9">
      <c r="B14" s="25">
        <v>2.4</v>
      </c>
      <c r="C14" s="26"/>
      <c r="E14">
        <v>111.5</v>
      </c>
      <c r="F14">
        <v>53</v>
      </c>
    </row>
    <row r="15" spans="2:9">
      <c r="B15" s="25">
        <v>2.5</v>
      </c>
      <c r="C15" s="29"/>
      <c r="E15" s="15">
        <v>112</v>
      </c>
      <c r="F15">
        <v>58</v>
      </c>
    </row>
    <row r="16" spans="2:9">
      <c r="B16" s="27">
        <v>2.6</v>
      </c>
      <c r="C16" s="13"/>
      <c r="E16">
        <v>112.5</v>
      </c>
      <c r="F16">
        <v>63</v>
      </c>
    </row>
    <row r="17" spans="2:8">
      <c r="B17" s="25">
        <v>2.7</v>
      </c>
      <c r="C17" s="13"/>
      <c r="E17" s="15">
        <v>112.5</v>
      </c>
      <c r="F17">
        <v>69</v>
      </c>
    </row>
    <row r="18" spans="2:8">
      <c r="B18" s="25">
        <v>2.8</v>
      </c>
      <c r="C18" s="13"/>
      <c r="E18">
        <v>113.5</v>
      </c>
      <c r="F18">
        <v>75</v>
      </c>
    </row>
    <row r="19" spans="2:8">
      <c r="B19" s="27">
        <v>2.9</v>
      </c>
      <c r="E19">
        <v>113.5</v>
      </c>
      <c r="F19">
        <v>81</v>
      </c>
    </row>
    <row r="20" spans="2:8">
      <c r="B20" s="25">
        <v>3</v>
      </c>
      <c r="E20">
        <v>113.5</v>
      </c>
      <c r="F20">
        <v>87</v>
      </c>
    </row>
    <row r="21" spans="2:8">
      <c r="B21" s="25">
        <v>3.1</v>
      </c>
      <c r="E21" s="15">
        <v>114</v>
      </c>
      <c r="F21">
        <v>92</v>
      </c>
    </row>
    <row r="22" spans="2:8">
      <c r="B22" s="27">
        <v>3.2</v>
      </c>
      <c r="C22" s="1"/>
      <c r="E22">
        <v>114.5</v>
      </c>
      <c r="F22">
        <v>99</v>
      </c>
    </row>
    <row r="23" spans="2:8">
      <c r="B23" s="25">
        <v>3.3</v>
      </c>
      <c r="E23">
        <v>114.5</v>
      </c>
      <c r="F23">
        <v>105</v>
      </c>
    </row>
    <row r="24" spans="2:8">
      <c r="B24" s="25">
        <v>3.4</v>
      </c>
      <c r="E24">
        <v>114.5</v>
      </c>
      <c r="F24">
        <v>111</v>
      </c>
    </row>
    <row r="25" spans="2:8">
      <c r="B25" s="27">
        <v>3.5</v>
      </c>
      <c r="E25">
        <v>114.5</v>
      </c>
      <c r="F25">
        <v>116.5</v>
      </c>
    </row>
    <row r="26" spans="2:8">
      <c r="B26" s="25">
        <v>3.6</v>
      </c>
      <c r="E26">
        <v>115</v>
      </c>
      <c r="F26">
        <v>121</v>
      </c>
    </row>
    <row r="27" spans="2:8">
      <c r="B27" s="25">
        <v>3.7</v>
      </c>
      <c r="E27">
        <v>115.5</v>
      </c>
      <c r="F27">
        <v>127</v>
      </c>
      <c r="H27">
        <v>28</v>
      </c>
    </row>
    <row r="28" spans="2:8">
      <c r="B28" s="27">
        <v>3.8</v>
      </c>
      <c r="E28">
        <v>116</v>
      </c>
      <c r="F28">
        <v>133</v>
      </c>
      <c r="H28">
        <v>29</v>
      </c>
    </row>
    <row r="29" spans="2:8">
      <c r="B29">
        <v>3.9</v>
      </c>
      <c r="E29">
        <v>116.5</v>
      </c>
      <c r="F29">
        <v>142</v>
      </c>
      <c r="H29">
        <v>30</v>
      </c>
    </row>
    <row r="30" spans="2:8">
      <c r="B30" s="15">
        <v>4</v>
      </c>
      <c r="E30">
        <v>117</v>
      </c>
      <c r="F30">
        <v>146.5</v>
      </c>
      <c r="H30">
        <v>31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P98"/>
  <sheetViews>
    <sheetView zoomScale="160" zoomScaleNormal="160" workbookViewId="0">
      <selection activeCell="D33" sqref="D33"/>
    </sheetView>
  </sheetViews>
  <sheetFormatPr defaultColWidth="9" defaultRowHeight="14.25"/>
  <cols>
    <col min="1" max="1" width="30.1083333333333" customWidth="1"/>
    <col min="2" max="2" width="14.1333333333333" customWidth="1"/>
    <col min="5" max="5" width="8.19166666666667" customWidth="1"/>
    <col min="6" max="6" width="8.98333333333333" customWidth="1"/>
    <col min="8" max="8" width="10.9583333333333" customWidth="1"/>
    <col min="9" max="9" width="9.36666666666667" customWidth="1"/>
    <col min="11" max="11" width="8.74166666666667" customWidth="1"/>
    <col min="12" max="12" width="10" customWidth="1"/>
    <col min="13" max="13" width="10.6916666666667" customWidth="1"/>
    <col min="15" max="15" width="12.5" customWidth="1"/>
  </cols>
  <sheetData>
    <row r="2" spans="1:16">
      <c r="B2" t="s">
        <v>109</v>
      </c>
    </row>
    <row r="3" ht="15" spans="1:16">
      <c r="A3" s="23" t="e">
        <f t="array" ref="A3">√((F5:F30)/200)</f>
        <v>#NAME?</v>
      </c>
      <c r="B3" s="10" t="s">
        <v>121</v>
      </c>
      <c r="C3" t="s">
        <v>122</v>
      </c>
      <c r="D3" t="s">
        <v>123</v>
      </c>
      <c r="E3" t="s">
        <v>124</v>
      </c>
      <c r="F3" t="s">
        <v>125</v>
      </c>
    </row>
    <row r="4" spans="1:16">
      <c r="B4" s="11" t="s">
        <v>15</v>
      </c>
      <c r="I4" t="s">
        <v>126</v>
      </c>
      <c r="M4" t="s">
        <v>127</v>
      </c>
      <c r="O4" t="s">
        <v>128</v>
      </c>
    </row>
    <row r="5" spans="1:16">
      <c r="A5" t="s">
        <v>129</v>
      </c>
      <c r="B5" s="12">
        <v>1.5</v>
      </c>
      <c r="C5" s="13">
        <v>5</v>
      </c>
      <c r="D5" s="13">
        <v>7.2</v>
      </c>
      <c r="E5" s="13">
        <v>10.5</v>
      </c>
      <c r="F5" s="13">
        <v>14.5</v>
      </c>
      <c r="G5" s="3"/>
      <c r="H5">
        <v>0.28</v>
      </c>
      <c r="I5">
        <v>0.282</v>
      </c>
      <c r="K5">
        <f t="array" ref="K5:K30">B5:B30*B5:B30</f>
        <v>2.25</v>
      </c>
      <c r="L5">
        <f t="array" ref="L5:L30">F5:F30-C5:C30</f>
        <v>9.5</v>
      </c>
      <c r="M5">
        <f t="array" ref="M5:M30">L5:L30/K5:K30</f>
        <v>4.22222222222222</v>
      </c>
      <c r="P5">
        <f t="array" ref="P5:P30">F5:F30-D5:D30-D5:D30</f>
        <v>0.0999999999999996</v>
      </c>
    </row>
    <row r="6" ht="15" spans="1:16">
      <c r="B6" s="13">
        <v>1.6</v>
      </c>
      <c r="C6" s="13">
        <v>9.2</v>
      </c>
      <c r="D6" s="13">
        <v>11.6</v>
      </c>
      <c r="E6" s="13">
        <v>18</v>
      </c>
      <c r="F6" s="13">
        <v>24.2</v>
      </c>
      <c r="G6" s="3"/>
      <c r="H6">
        <v>0.35</v>
      </c>
      <c r="I6">
        <v>0.354</v>
      </c>
      <c r="K6">
        <v>2.56</v>
      </c>
      <c r="L6">
        <v>15</v>
      </c>
      <c r="M6" s="23">
        <v>5.859375</v>
      </c>
      <c r="P6">
        <v>1</v>
      </c>
    </row>
    <row r="7" spans="1:16">
      <c r="B7" s="13">
        <v>1.7</v>
      </c>
      <c r="C7" s="13">
        <v>13</v>
      </c>
      <c r="D7" s="13">
        <v>16.5</v>
      </c>
      <c r="E7" s="13">
        <v>25.5</v>
      </c>
      <c r="F7" s="13">
        <v>35</v>
      </c>
      <c r="G7" s="3"/>
      <c r="H7">
        <v>0.42</v>
      </c>
      <c r="K7">
        <v>2.89</v>
      </c>
      <c r="L7">
        <v>22</v>
      </c>
      <c r="M7">
        <v>7.61245674740485</v>
      </c>
      <c r="P7">
        <v>2</v>
      </c>
    </row>
    <row r="8" spans="1:16">
      <c r="B8" s="13">
        <v>1.8</v>
      </c>
      <c r="C8" s="13">
        <v>20.6</v>
      </c>
      <c r="D8" s="13">
        <v>25</v>
      </c>
      <c r="E8" s="13">
        <v>37.5</v>
      </c>
      <c r="F8" s="13">
        <v>50</v>
      </c>
      <c r="G8" s="3"/>
      <c r="H8">
        <v>0.5</v>
      </c>
      <c r="K8">
        <v>3.24</v>
      </c>
      <c r="L8">
        <v>29.4</v>
      </c>
      <c r="M8">
        <v>9.07407407407407</v>
      </c>
      <c r="P8">
        <v>0</v>
      </c>
    </row>
    <row r="9" spans="1:16">
      <c r="B9" s="13">
        <v>1.9</v>
      </c>
      <c r="C9" s="13">
        <v>25.1</v>
      </c>
      <c r="D9" s="13">
        <v>30.8</v>
      </c>
      <c r="E9" s="13">
        <v>45.2</v>
      </c>
      <c r="F9" s="13">
        <v>60.3</v>
      </c>
      <c r="G9" s="3"/>
      <c r="H9">
        <v>0.55</v>
      </c>
      <c r="K9">
        <v>3.61</v>
      </c>
      <c r="L9">
        <v>35.2</v>
      </c>
      <c r="M9">
        <v>9.75069252077562</v>
      </c>
      <c r="P9">
        <v>-1.3</v>
      </c>
    </row>
    <row r="10" spans="1:16">
      <c r="B10" s="13">
        <v>2</v>
      </c>
      <c r="C10" s="13">
        <v>30.1</v>
      </c>
      <c r="D10" s="13">
        <v>35.8</v>
      </c>
      <c r="E10" s="13">
        <v>52.5</v>
      </c>
      <c r="F10" s="13">
        <v>72</v>
      </c>
      <c r="G10" s="3"/>
      <c r="H10">
        <v>0.6</v>
      </c>
      <c r="K10">
        <v>4</v>
      </c>
      <c r="L10">
        <v>41.9</v>
      </c>
      <c r="M10">
        <v>10.475</v>
      </c>
      <c r="P10">
        <v>0.400000000000006</v>
      </c>
    </row>
    <row r="11" spans="1:16">
      <c r="B11" s="13">
        <v>2.1</v>
      </c>
      <c r="C11" s="13">
        <v>34</v>
      </c>
      <c r="D11" s="13">
        <v>42</v>
      </c>
      <c r="E11" s="13">
        <v>62</v>
      </c>
      <c r="F11" s="13">
        <v>84</v>
      </c>
      <c r="G11" s="3"/>
      <c r="H11">
        <v>0.65</v>
      </c>
      <c r="K11">
        <v>4.41</v>
      </c>
      <c r="L11">
        <v>50</v>
      </c>
      <c r="M11">
        <v>11.3378684807256</v>
      </c>
      <c r="P11">
        <v>0</v>
      </c>
    </row>
    <row r="12" spans="1:16">
      <c r="B12" s="13">
        <v>2.2</v>
      </c>
      <c r="C12" s="13">
        <v>38</v>
      </c>
      <c r="D12" s="13">
        <v>47</v>
      </c>
      <c r="E12" s="13">
        <v>70</v>
      </c>
      <c r="F12" s="13">
        <v>96</v>
      </c>
      <c r="G12" s="3"/>
      <c r="H12">
        <v>69</v>
      </c>
      <c r="K12">
        <v>4.84</v>
      </c>
      <c r="L12">
        <v>58</v>
      </c>
      <c r="M12">
        <v>11.9834710743802</v>
      </c>
      <c r="P12">
        <v>2</v>
      </c>
    </row>
    <row r="13" spans="1:16">
      <c r="B13" s="13">
        <v>2.3</v>
      </c>
      <c r="C13" s="13">
        <v>42</v>
      </c>
      <c r="D13" s="13">
        <v>53</v>
      </c>
      <c r="E13" s="13">
        <v>79</v>
      </c>
      <c r="F13" s="13">
        <v>108</v>
      </c>
      <c r="G13" s="3"/>
      <c r="H13">
        <v>0.74</v>
      </c>
      <c r="K13">
        <v>5.29</v>
      </c>
      <c r="L13">
        <v>66</v>
      </c>
      <c r="M13">
        <v>12.476370510397</v>
      </c>
      <c r="P13">
        <v>2</v>
      </c>
    </row>
    <row r="14" spans="1:16">
      <c r="B14" s="13">
        <v>2.4</v>
      </c>
      <c r="C14" s="13">
        <v>46</v>
      </c>
      <c r="D14" s="13">
        <v>58</v>
      </c>
      <c r="E14" s="13">
        <v>88</v>
      </c>
      <c r="F14" s="13">
        <v>120</v>
      </c>
      <c r="G14" s="3"/>
      <c r="H14">
        <v>0.775</v>
      </c>
      <c r="K14">
        <v>5.76</v>
      </c>
      <c r="L14">
        <v>74</v>
      </c>
      <c r="M14">
        <v>12.8472222222222</v>
      </c>
      <c r="P14">
        <v>4</v>
      </c>
    </row>
    <row r="15" spans="1:16">
      <c r="B15" s="13">
        <v>2.5</v>
      </c>
      <c r="C15" s="13">
        <v>50</v>
      </c>
      <c r="D15" s="13">
        <v>63</v>
      </c>
      <c r="E15" s="13">
        <v>97</v>
      </c>
      <c r="F15" s="13">
        <v>131</v>
      </c>
      <c r="G15" s="3"/>
      <c r="H15">
        <v>0.81</v>
      </c>
      <c r="K15">
        <v>6.25</v>
      </c>
      <c r="L15">
        <v>81</v>
      </c>
      <c r="M15">
        <v>12.96</v>
      </c>
      <c r="P15">
        <v>5</v>
      </c>
    </row>
    <row r="16" spans="1:16">
      <c r="B16" s="13">
        <v>2.6</v>
      </c>
      <c r="C16" s="13">
        <v>55</v>
      </c>
      <c r="D16" s="13">
        <v>68</v>
      </c>
      <c r="E16" s="13">
        <v>106</v>
      </c>
      <c r="F16" s="13">
        <v>144</v>
      </c>
      <c r="G16" s="3"/>
      <c r="H16">
        <v>0.85</v>
      </c>
      <c r="K16">
        <v>6.76</v>
      </c>
      <c r="L16">
        <v>89</v>
      </c>
      <c r="M16">
        <v>13.1656804733728</v>
      </c>
      <c r="P16">
        <v>8</v>
      </c>
    </row>
    <row r="17" spans="2:16">
      <c r="B17" s="13">
        <v>2.7</v>
      </c>
      <c r="C17" s="13">
        <v>59</v>
      </c>
      <c r="D17" s="13">
        <v>75</v>
      </c>
      <c r="E17" s="13">
        <v>115</v>
      </c>
      <c r="F17" s="13">
        <v>155</v>
      </c>
      <c r="G17" s="14"/>
      <c r="H17">
        <v>0.88</v>
      </c>
      <c r="K17">
        <v>7.29</v>
      </c>
      <c r="L17">
        <v>96</v>
      </c>
      <c r="M17">
        <v>13.1687242798354</v>
      </c>
      <c r="P17">
        <v>5</v>
      </c>
    </row>
    <row r="18" spans="2:16">
      <c r="B18" s="13">
        <v>2.8</v>
      </c>
      <c r="C18" s="13">
        <v>63</v>
      </c>
      <c r="D18" s="13">
        <v>80</v>
      </c>
      <c r="E18" s="13">
        <v>122</v>
      </c>
      <c r="F18" s="13">
        <v>166</v>
      </c>
      <c r="G18" s="3"/>
      <c r="H18">
        <v>0.91</v>
      </c>
      <c r="K18">
        <v>7.84</v>
      </c>
      <c r="L18">
        <v>103</v>
      </c>
      <c r="M18">
        <v>13.1377551020408</v>
      </c>
      <c r="P18">
        <v>6</v>
      </c>
    </row>
    <row r="19" spans="2:16">
      <c r="B19" s="13">
        <v>2.9</v>
      </c>
      <c r="C19" s="13">
        <v>67</v>
      </c>
      <c r="D19" s="13">
        <v>85</v>
      </c>
      <c r="E19" s="13">
        <v>132</v>
      </c>
      <c r="F19" s="13">
        <v>180</v>
      </c>
      <c r="G19" s="3"/>
      <c r="H19">
        <v>0.95</v>
      </c>
      <c r="K19">
        <v>8.41</v>
      </c>
      <c r="L19">
        <v>113</v>
      </c>
      <c r="M19">
        <v>13.436385255648</v>
      </c>
      <c r="P19">
        <v>10</v>
      </c>
    </row>
    <row r="20" spans="2:16">
      <c r="B20" s="13">
        <v>3</v>
      </c>
      <c r="C20" s="13">
        <v>73</v>
      </c>
      <c r="D20" s="13">
        <v>91</v>
      </c>
      <c r="E20" s="13">
        <v>141</v>
      </c>
      <c r="F20" s="13">
        <v>191</v>
      </c>
      <c r="G20" s="3"/>
      <c r="H20">
        <v>0.978</v>
      </c>
      <c r="K20">
        <v>9</v>
      </c>
      <c r="L20">
        <v>118</v>
      </c>
      <c r="M20">
        <v>13.1111111111111</v>
      </c>
      <c r="P20">
        <v>9</v>
      </c>
    </row>
    <row r="21" spans="2:16">
      <c r="B21" s="13">
        <v>3.1</v>
      </c>
      <c r="C21" s="13">
        <v>77</v>
      </c>
      <c r="D21" s="13">
        <v>98</v>
      </c>
      <c r="E21" s="13">
        <v>150</v>
      </c>
      <c r="F21" s="13">
        <v>203</v>
      </c>
      <c r="G21" s="3"/>
      <c r="H21">
        <v>1.008</v>
      </c>
      <c r="K21">
        <v>9.61</v>
      </c>
      <c r="L21">
        <v>126</v>
      </c>
      <c r="M21">
        <v>13.111342351717</v>
      </c>
      <c r="P21">
        <v>7</v>
      </c>
    </row>
    <row r="22" spans="2:16">
      <c r="B22" s="13">
        <v>3.2</v>
      </c>
      <c r="C22" s="13">
        <v>81</v>
      </c>
      <c r="D22" s="13">
        <v>103</v>
      </c>
      <c r="E22" s="13">
        <v>159</v>
      </c>
      <c r="F22" s="13">
        <v>215</v>
      </c>
      <c r="G22" s="3"/>
      <c r="H22">
        <v>1.037</v>
      </c>
      <c r="K22">
        <v>10.24</v>
      </c>
      <c r="L22">
        <v>134</v>
      </c>
      <c r="M22">
        <v>13.0859375</v>
      </c>
      <c r="P22">
        <v>9</v>
      </c>
    </row>
    <row r="23" spans="2:16">
      <c r="B23" s="17">
        <v>3.3</v>
      </c>
      <c r="C23" s="17">
        <v>92</v>
      </c>
      <c r="D23" s="17">
        <v>116</v>
      </c>
      <c r="E23" s="17">
        <v>176</v>
      </c>
      <c r="F23" s="17">
        <v>235</v>
      </c>
      <c r="G23" s="6"/>
      <c r="H23" s="1">
        <v>1.085</v>
      </c>
      <c r="I23" s="1" t="s">
        <v>130</v>
      </c>
      <c r="K23">
        <v>10.89</v>
      </c>
      <c r="L23">
        <v>143</v>
      </c>
      <c r="M23">
        <v>13.1313131313131</v>
      </c>
      <c r="P23">
        <v>3</v>
      </c>
    </row>
    <row r="24" spans="2:16">
      <c r="B24" s="13">
        <v>3.4</v>
      </c>
      <c r="C24" s="13">
        <v>96</v>
      </c>
      <c r="D24" s="13">
        <v>123</v>
      </c>
      <c r="E24" s="13">
        <v>187</v>
      </c>
      <c r="F24" s="13">
        <v>249</v>
      </c>
      <c r="G24" s="3"/>
      <c r="H24">
        <v>1.118</v>
      </c>
      <c r="K24">
        <v>11.56</v>
      </c>
      <c r="L24">
        <v>153</v>
      </c>
      <c r="M24">
        <v>13.2352941176471</v>
      </c>
      <c r="P24">
        <v>3</v>
      </c>
    </row>
    <row r="25" spans="2:16">
      <c r="B25" s="13">
        <v>3.5</v>
      </c>
      <c r="C25" s="13">
        <v>100</v>
      </c>
      <c r="D25" s="13">
        <v>130</v>
      </c>
      <c r="E25" s="13">
        <v>195</v>
      </c>
      <c r="F25" s="13">
        <v>259</v>
      </c>
      <c r="G25" s="3"/>
      <c r="H25">
        <v>1.138</v>
      </c>
      <c r="K25">
        <v>12.25</v>
      </c>
      <c r="L25">
        <v>159</v>
      </c>
      <c r="M25">
        <v>12.9795918367347</v>
      </c>
      <c r="P25">
        <v>-1</v>
      </c>
    </row>
    <row r="26" spans="2:16">
      <c r="B26" s="13">
        <v>3.6</v>
      </c>
      <c r="C26" s="13">
        <v>107</v>
      </c>
      <c r="D26" s="13">
        <v>136</v>
      </c>
      <c r="E26" s="13">
        <v>202</v>
      </c>
      <c r="F26" s="13">
        <v>268</v>
      </c>
      <c r="G26" s="3"/>
      <c r="H26">
        <v>1.158</v>
      </c>
      <c r="K26">
        <v>12.96</v>
      </c>
      <c r="L26">
        <v>161</v>
      </c>
      <c r="M26">
        <v>12.4228395061728</v>
      </c>
      <c r="P26">
        <v>-4</v>
      </c>
    </row>
    <row r="27" spans="2:16">
      <c r="B27" s="13">
        <v>3.7</v>
      </c>
      <c r="C27" s="13">
        <v>111</v>
      </c>
      <c r="D27" s="13">
        <v>140</v>
      </c>
      <c r="E27" s="13">
        <v>212</v>
      </c>
      <c r="F27" s="13">
        <v>285</v>
      </c>
      <c r="G27" s="3"/>
      <c r="H27">
        <v>1.195</v>
      </c>
      <c r="K27">
        <v>13.69</v>
      </c>
      <c r="L27">
        <v>174</v>
      </c>
      <c r="M27">
        <v>12.7100073046019</v>
      </c>
      <c r="P27">
        <v>5</v>
      </c>
    </row>
    <row r="28" spans="2:16">
      <c r="B28" s="13">
        <v>3.8</v>
      </c>
      <c r="C28" s="13">
        <v>115</v>
      </c>
      <c r="D28" s="13">
        <v>146</v>
      </c>
      <c r="E28" s="13">
        <v>221</v>
      </c>
      <c r="F28" s="13">
        <v>296</v>
      </c>
      <c r="G28" s="14"/>
      <c r="H28">
        <v>1.218</v>
      </c>
      <c r="K28">
        <v>14.44</v>
      </c>
      <c r="L28">
        <v>181</v>
      </c>
      <c r="M28">
        <v>12.5346260387812</v>
      </c>
      <c r="P28">
        <v>4</v>
      </c>
    </row>
    <row r="29" spans="2:16">
      <c r="B29" s="22">
        <v>3.9</v>
      </c>
      <c r="C29" s="18">
        <v>122</v>
      </c>
      <c r="D29" s="18">
        <v>153</v>
      </c>
      <c r="E29" s="18">
        <v>230</v>
      </c>
      <c r="F29" s="18">
        <v>308</v>
      </c>
      <c r="G29" s="19"/>
      <c r="H29">
        <v>1.241</v>
      </c>
      <c r="K29">
        <v>15.21</v>
      </c>
      <c r="L29">
        <v>186</v>
      </c>
      <c r="M29">
        <v>12.2287968441815</v>
      </c>
      <c r="P29">
        <v>2</v>
      </c>
    </row>
    <row r="30" spans="2:16">
      <c r="B30" s="15">
        <v>4</v>
      </c>
      <c r="C30">
        <v>126</v>
      </c>
      <c r="D30">
        <v>159</v>
      </c>
      <c r="E30">
        <v>238</v>
      </c>
      <c r="F30">
        <v>318</v>
      </c>
      <c r="H30">
        <v>1.262</v>
      </c>
      <c r="K30">
        <v>16</v>
      </c>
      <c r="L30">
        <v>192</v>
      </c>
      <c r="M30">
        <v>12</v>
      </c>
      <c r="P30">
        <v>0</v>
      </c>
    </row>
    <row r="31" spans="2:16">
      <c r="C31" s="4"/>
    </row>
    <row r="39" spans="1:14">
      <c r="A39" s="24">
        <v>45982</v>
      </c>
      <c r="B39" t="s">
        <v>109</v>
      </c>
    </row>
    <row r="40" spans="1:14">
      <c r="B40" s="10" t="s">
        <v>121</v>
      </c>
      <c r="C40" t="s">
        <v>122</v>
      </c>
      <c r="D40" t="s">
        <v>123</v>
      </c>
      <c r="E40" t="s">
        <v>124</v>
      </c>
      <c r="F40" t="s">
        <v>125</v>
      </c>
    </row>
    <row r="41" spans="1:14">
      <c r="B41" s="11" t="s">
        <v>15</v>
      </c>
    </row>
    <row r="42" spans="1:14">
      <c r="B42" s="12">
        <v>1.5</v>
      </c>
      <c r="C42" s="13">
        <v>3</v>
      </c>
      <c r="D42" s="13"/>
      <c r="E42" s="13"/>
      <c r="F42" s="13">
        <v>7</v>
      </c>
      <c r="K42">
        <f t="array" ref="K42:K67">B42:B67*B42:B67</f>
        <v>2.25</v>
      </c>
    </row>
    <row r="43" spans="1:14">
      <c r="B43" s="13">
        <v>1.6</v>
      </c>
      <c r="C43" s="13"/>
      <c r="D43" s="13"/>
      <c r="E43" s="13"/>
      <c r="F43" s="13"/>
      <c r="K43">
        <v>2.56</v>
      </c>
    </row>
    <row r="44" spans="1:14">
      <c r="B44" s="13">
        <v>1.7</v>
      </c>
      <c r="C44" s="13"/>
      <c r="D44" s="13"/>
      <c r="E44" s="13"/>
      <c r="F44" s="13"/>
      <c r="K44">
        <v>2.89</v>
      </c>
    </row>
    <row r="45" spans="1:14">
      <c r="B45" s="13">
        <v>1.8</v>
      </c>
      <c r="C45" s="13"/>
      <c r="D45" s="13">
        <v>29</v>
      </c>
      <c r="E45" s="13"/>
      <c r="F45" s="13">
        <v>59</v>
      </c>
      <c r="K45">
        <v>3.24</v>
      </c>
      <c r="L45">
        <f t="array" ref="L45:L55">F45:F55-D45:D55</f>
        <v>30</v>
      </c>
      <c r="M45">
        <v>1.69</v>
      </c>
      <c r="N45">
        <v>0.938</v>
      </c>
    </row>
    <row r="46" spans="1:14">
      <c r="B46" s="13">
        <v>1.9</v>
      </c>
      <c r="C46" s="13"/>
      <c r="D46" s="13">
        <v>35</v>
      </c>
      <c r="E46" s="13"/>
      <c r="F46" s="13">
        <v>70</v>
      </c>
      <c r="K46">
        <v>3.61</v>
      </c>
      <c r="L46">
        <v>35</v>
      </c>
    </row>
    <row r="47" spans="1:14">
      <c r="B47" s="13">
        <v>2</v>
      </c>
      <c r="C47" s="13"/>
      <c r="D47" s="13">
        <v>41</v>
      </c>
      <c r="E47" s="13"/>
      <c r="F47" s="13">
        <v>81</v>
      </c>
      <c r="K47">
        <v>4</v>
      </c>
      <c r="L47">
        <v>40</v>
      </c>
    </row>
    <row r="48" spans="1:14">
      <c r="B48" s="13">
        <v>2.1</v>
      </c>
      <c r="C48" s="13"/>
      <c r="D48" s="13">
        <v>47</v>
      </c>
      <c r="E48" s="13"/>
      <c r="F48" s="13">
        <v>95</v>
      </c>
      <c r="K48">
        <v>4.41</v>
      </c>
      <c r="L48">
        <v>48</v>
      </c>
    </row>
    <row r="49" spans="2:14">
      <c r="B49" s="13">
        <v>2.2</v>
      </c>
      <c r="C49" s="13"/>
      <c r="D49" s="13">
        <v>53</v>
      </c>
      <c r="E49" s="13"/>
      <c r="F49" s="13">
        <v>109</v>
      </c>
      <c r="K49">
        <v>4.84</v>
      </c>
      <c r="L49">
        <v>56</v>
      </c>
    </row>
    <row r="50" spans="2:14">
      <c r="B50" s="13">
        <v>2.3</v>
      </c>
      <c r="C50" s="13"/>
      <c r="D50" s="13">
        <v>59</v>
      </c>
      <c r="E50" s="13"/>
      <c r="F50" s="13">
        <v>122</v>
      </c>
      <c r="K50">
        <v>5.29</v>
      </c>
      <c r="L50">
        <v>63</v>
      </c>
    </row>
    <row r="51" spans="2:14">
      <c r="B51" s="13">
        <v>2.4</v>
      </c>
      <c r="C51" s="13"/>
      <c r="D51" s="13">
        <v>65</v>
      </c>
      <c r="E51" s="13"/>
      <c r="F51" s="13">
        <v>135</v>
      </c>
      <c r="K51">
        <v>5.76</v>
      </c>
      <c r="L51">
        <v>70</v>
      </c>
    </row>
    <row r="52" spans="2:14">
      <c r="B52" s="13">
        <v>2.5</v>
      </c>
      <c r="C52" s="13"/>
      <c r="D52" s="13">
        <v>70.5</v>
      </c>
      <c r="E52" s="13"/>
      <c r="F52" s="13">
        <v>148</v>
      </c>
      <c r="K52">
        <v>6.25</v>
      </c>
      <c r="L52">
        <v>77.5</v>
      </c>
      <c r="M52">
        <v>2.8</v>
      </c>
      <c r="N52">
        <v>1.12</v>
      </c>
    </row>
    <row r="53" spans="2:14">
      <c r="B53" s="13">
        <v>2.6</v>
      </c>
      <c r="C53" s="13"/>
      <c r="D53" s="13">
        <v>77</v>
      </c>
      <c r="E53" s="13"/>
      <c r="F53" s="13">
        <v>161</v>
      </c>
      <c r="K53">
        <v>6.76</v>
      </c>
      <c r="L53">
        <v>84</v>
      </c>
    </row>
    <row r="54" spans="2:14">
      <c r="B54" s="13">
        <v>2.7</v>
      </c>
      <c r="C54" s="13"/>
      <c r="D54" s="13">
        <v>83</v>
      </c>
      <c r="E54" s="13"/>
      <c r="F54" s="13">
        <v>174</v>
      </c>
      <c r="K54">
        <v>7.29</v>
      </c>
      <c r="L54">
        <v>91</v>
      </c>
    </row>
    <row r="55" spans="2:14">
      <c r="B55" s="13">
        <v>2.8</v>
      </c>
      <c r="C55" s="13"/>
      <c r="D55" s="13">
        <v>89</v>
      </c>
      <c r="E55" s="13"/>
      <c r="F55" s="13">
        <v>187</v>
      </c>
      <c r="K55">
        <v>7.84</v>
      </c>
      <c r="L55">
        <v>98</v>
      </c>
    </row>
    <row r="56" spans="2:14">
      <c r="B56" s="13">
        <v>2.9</v>
      </c>
      <c r="C56" s="13"/>
      <c r="D56" s="13"/>
      <c r="E56" s="13"/>
      <c r="F56" s="13"/>
      <c r="K56">
        <v>8.41</v>
      </c>
    </row>
    <row r="57" spans="2:14">
      <c r="B57" s="13">
        <v>3</v>
      </c>
      <c r="C57" s="13"/>
      <c r="D57" s="13">
        <v>104</v>
      </c>
      <c r="E57" s="13"/>
      <c r="F57" s="13">
        <v>215</v>
      </c>
      <c r="K57">
        <v>9</v>
      </c>
      <c r="L57">
        <v>111</v>
      </c>
      <c r="M57">
        <v>3.32</v>
      </c>
      <c r="N57">
        <v>1.106</v>
      </c>
    </row>
    <row r="58" spans="2:14">
      <c r="B58" s="13">
        <v>3.1</v>
      </c>
      <c r="C58" s="13"/>
      <c r="D58" s="13"/>
      <c r="E58" s="13"/>
      <c r="F58" s="13"/>
      <c r="K58">
        <v>9.61</v>
      </c>
    </row>
    <row r="59" spans="2:14">
      <c r="B59" s="13">
        <v>3.2</v>
      </c>
      <c r="C59" s="13"/>
      <c r="D59" s="13"/>
      <c r="E59" s="13"/>
      <c r="F59" s="13"/>
      <c r="K59">
        <v>10.24</v>
      </c>
    </row>
    <row r="60" spans="2:14">
      <c r="B60" s="17">
        <v>3.3</v>
      </c>
      <c r="C60" s="17"/>
      <c r="D60" s="17"/>
      <c r="E60" s="17"/>
      <c r="F60" s="17"/>
      <c r="K60">
        <v>10.89</v>
      </c>
    </row>
    <row r="61" spans="2:14">
      <c r="B61" s="13">
        <v>3.4</v>
      </c>
      <c r="C61" s="13"/>
      <c r="D61" s="13"/>
      <c r="E61" s="13"/>
      <c r="F61" s="13"/>
      <c r="K61">
        <v>11.56</v>
      </c>
    </row>
    <row r="62" spans="2:14">
      <c r="B62" s="13">
        <v>3.5</v>
      </c>
      <c r="C62" s="13"/>
      <c r="D62" s="13">
        <v>135</v>
      </c>
      <c r="E62" s="13"/>
      <c r="F62" s="13">
        <v>296</v>
      </c>
      <c r="K62">
        <v>12.25</v>
      </c>
      <c r="L62">
        <v>161</v>
      </c>
      <c r="M62">
        <v>4</v>
      </c>
      <c r="N62">
        <v>1.14</v>
      </c>
    </row>
    <row r="63" spans="2:14">
      <c r="B63" s="13">
        <v>3.6</v>
      </c>
      <c r="C63" s="13"/>
      <c r="D63" s="13"/>
      <c r="E63" s="13"/>
      <c r="F63" s="13"/>
      <c r="K63">
        <v>12.96</v>
      </c>
    </row>
    <row r="64" spans="2:14">
      <c r="B64" s="13">
        <v>3.7</v>
      </c>
      <c r="C64" s="13"/>
      <c r="D64" s="13"/>
      <c r="E64" s="13"/>
      <c r="F64" s="13"/>
      <c r="K64">
        <v>13.69</v>
      </c>
    </row>
    <row r="65" spans="1:14">
      <c r="B65" s="13">
        <v>3.8</v>
      </c>
      <c r="C65" s="13"/>
      <c r="D65" s="13"/>
      <c r="E65" s="13"/>
      <c r="F65" s="13"/>
      <c r="K65">
        <v>14.44</v>
      </c>
    </row>
    <row r="66" spans="1:14">
      <c r="B66" s="22">
        <v>3.9</v>
      </c>
      <c r="C66" s="18"/>
      <c r="D66" s="18"/>
      <c r="E66" s="18"/>
      <c r="F66" s="18"/>
      <c r="K66">
        <v>15.21</v>
      </c>
    </row>
    <row r="67" spans="1:14">
      <c r="B67" s="15">
        <v>4</v>
      </c>
      <c r="D67">
        <v>178</v>
      </c>
      <c r="F67">
        <v>360</v>
      </c>
      <c r="K67">
        <v>16</v>
      </c>
      <c r="L67">
        <v>182</v>
      </c>
      <c r="M67">
        <v>16</v>
      </c>
    </row>
    <row r="70" spans="1:14">
      <c r="A70" s="24"/>
    </row>
    <row r="71" spans="1:14">
      <c r="A71" s="24">
        <v>45985</v>
      </c>
      <c r="B71" s="10" t="s">
        <v>121</v>
      </c>
    </row>
    <row r="72" spans="1:14">
      <c r="B72" s="11" t="s">
        <v>15</v>
      </c>
    </row>
    <row r="73" spans="1:14">
      <c r="B73" s="12">
        <v>1.5</v>
      </c>
      <c r="C73" s="13"/>
      <c r="D73" s="13">
        <v>10</v>
      </c>
      <c r="E73" s="13"/>
      <c r="F73" s="13">
        <v>20</v>
      </c>
      <c r="H73">
        <v>4</v>
      </c>
      <c r="L73">
        <v>10</v>
      </c>
      <c r="M73">
        <v>0.1</v>
      </c>
    </row>
    <row r="74" spans="1:14">
      <c r="B74" s="13">
        <v>1.6</v>
      </c>
      <c r="C74" s="13"/>
      <c r="D74" s="13"/>
      <c r="E74" s="13"/>
      <c r="F74" s="13"/>
    </row>
    <row r="75" spans="1:14">
      <c r="B75" s="13">
        <v>1.7</v>
      </c>
      <c r="C75" s="13"/>
      <c r="D75" s="13"/>
      <c r="E75" s="13"/>
      <c r="F75" s="13"/>
    </row>
    <row r="76" spans="1:14">
      <c r="B76" s="13">
        <v>1.8</v>
      </c>
      <c r="C76" s="13"/>
      <c r="D76" s="13">
        <v>30</v>
      </c>
      <c r="E76" s="13"/>
      <c r="F76" s="13">
        <v>60</v>
      </c>
    </row>
    <row r="77" spans="1:14">
      <c r="B77" s="13">
        <v>1.9</v>
      </c>
      <c r="C77" s="13"/>
      <c r="D77" s="13">
        <v>37</v>
      </c>
      <c r="E77" s="13"/>
      <c r="F77" s="13">
        <v>74</v>
      </c>
    </row>
    <row r="78" spans="1:14">
      <c r="B78" s="13">
        <v>2</v>
      </c>
      <c r="C78" s="13"/>
      <c r="D78" s="13">
        <v>52</v>
      </c>
      <c r="E78" s="13"/>
      <c r="F78" s="13">
        <v>102</v>
      </c>
      <c r="H78">
        <v>12</v>
      </c>
      <c r="L78">
        <v>50</v>
      </c>
      <c r="M78">
        <v>0.5</v>
      </c>
      <c r="N78">
        <v>0.4</v>
      </c>
    </row>
    <row r="79" spans="1:14">
      <c r="B79" s="13">
        <v>2.1</v>
      </c>
      <c r="C79" s="13"/>
      <c r="D79" s="13">
        <v>53</v>
      </c>
      <c r="E79" s="13"/>
      <c r="F79" s="13">
        <v>106</v>
      </c>
    </row>
    <row r="80" spans="1:14">
      <c r="B80" s="13">
        <v>2.2</v>
      </c>
      <c r="C80" s="13"/>
      <c r="D80" s="13">
        <v>60</v>
      </c>
      <c r="E80" s="13"/>
      <c r="F80" s="13">
        <v>122</v>
      </c>
    </row>
    <row r="81" spans="2:14">
      <c r="B81" s="13">
        <v>2.3</v>
      </c>
      <c r="C81" s="13"/>
      <c r="D81" s="13">
        <v>68</v>
      </c>
      <c r="E81" s="13"/>
      <c r="F81" s="13">
        <v>139</v>
      </c>
    </row>
    <row r="82" spans="2:14">
      <c r="B82" s="13">
        <v>2.4</v>
      </c>
      <c r="C82" s="13"/>
      <c r="D82" s="13">
        <v>76</v>
      </c>
      <c r="E82" s="13"/>
      <c r="F82" s="13">
        <v>155</v>
      </c>
    </row>
    <row r="83" spans="2:14">
      <c r="B83" s="13">
        <v>2.5</v>
      </c>
      <c r="C83" s="13"/>
      <c r="D83" s="13">
        <v>90</v>
      </c>
      <c r="E83" s="13"/>
      <c r="F83" s="13">
        <v>180</v>
      </c>
      <c r="H83">
        <v>36</v>
      </c>
      <c r="L83">
        <v>90</v>
      </c>
      <c r="M83" s="8">
        <v>0.9</v>
      </c>
      <c r="N83">
        <v>0.4</v>
      </c>
    </row>
    <row r="84" spans="2:14">
      <c r="B84" s="13">
        <v>2.6</v>
      </c>
      <c r="C84" s="13"/>
      <c r="D84" s="13"/>
      <c r="E84" s="13"/>
      <c r="F84" s="13"/>
    </row>
    <row r="85" spans="2:14">
      <c r="B85" s="13">
        <v>2.7</v>
      </c>
      <c r="C85" s="13"/>
      <c r="D85" s="13">
        <v>97</v>
      </c>
      <c r="E85" s="13"/>
      <c r="F85" s="13">
        <v>205</v>
      </c>
    </row>
    <row r="86" spans="2:14">
      <c r="B86" s="13">
        <v>2.8</v>
      </c>
      <c r="C86" s="13"/>
      <c r="D86" s="13"/>
      <c r="E86" s="13"/>
      <c r="F86" s="13"/>
    </row>
    <row r="87" spans="2:14">
      <c r="B87" s="13">
        <v>2.9</v>
      </c>
      <c r="C87" s="13"/>
      <c r="D87" s="13"/>
      <c r="E87" s="13"/>
      <c r="F87" s="13"/>
    </row>
    <row r="88" spans="2:14">
      <c r="B88" s="13">
        <v>3</v>
      </c>
      <c r="C88" s="13"/>
      <c r="D88" s="13">
        <v>135</v>
      </c>
      <c r="E88" s="13"/>
      <c r="F88" s="13">
        <v>268</v>
      </c>
      <c r="H88">
        <v>40</v>
      </c>
      <c r="J88">
        <v>25</v>
      </c>
      <c r="L88">
        <v>135</v>
      </c>
      <c r="M88">
        <v>1.35</v>
      </c>
      <c r="N88">
        <v>0.45</v>
      </c>
    </row>
    <row r="89" spans="2:14">
      <c r="B89" s="13">
        <v>3.1</v>
      </c>
      <c r="C89" s="13"/>
      <c r="D89" s="13"/>
      <c r="E89" s="13"/>
      <c r="F89" s="13"/>
    </row>
    <row r="90" spans="2:14">
      <c r="B90" s="13">
        <v>3.2</v>
      </c>
      <c r="C90" s="13"/>
      <c r="D90" s="13"/>
      <c r="E90" s="13"/>
      <c r="F90" s="13"/>
    </row>
    <row r="91" spans="2:14">
      <c r="B91" s="17">
        <v>3.3</v>
      </c>
      <c r="C91" s="17"/>
      <c r="D91" s="17"/>
      <c r="E91" s="17"/>
      <c r="F91" s="17"/>
    </row>
    <row r="92" spans="2:14">
      <c r="B92" s="13">
        <v>3.4</v>
      </c>
      <c r="C92" s="13"/>
      <c r="D92" s="13"/>
      <c r="E92" s="13"/>
      <c r="F92" s="13"/>
    </row>
    <row r="93" spans="2:14">
      <c r="B93" s="13">
        <v>3.5</v>
      </c>
      <c r="C93" s="13"/>
      <c r="D93" s="13">
        <v>177</v>
      </c>
      <c r="E93" s="13"/>
      <c r="F93" s="13">
        <v>350</v>
      </c>
      <c r="H93">
        <v>56</v>
      </c>
      <c r="J93">
        <v>26</v>
      </c>
      <c r="L93">
        <v>178</v>
      </c>
      <c r="M93">
        <v>1.78</v>
      </c>
      <c r="N93">
        <v>0.43</v>
      </c>
    </row>
    <row r="94" spans="2:14">
      <c r="B94" s="13">
        <v>3.6</v>
      </c>
      <c r="C94" s="13"/>
      <c r="D94" s="13"/>
      <c r="E94" s="13"/>
      <c r="F94" s="13"/>
    </row>
    <row r="95" spans="2:14">
      <c r="B95" s="13">
        <v>3.7</v>
      </c>
      <c r="C95" s="13"/>
      <c r="D95" s="13"/>
      <c r="E95" s="13"/>
      <c r="F95" s="13"/>
    </row>
    <row r="96" spans="2:14">
      <c r="B96" s="13">
        <v>3.8</v>
      </c>
      <c r="C96" s="13"/>
      <c r="D96" s="13"/>
      <c r="E96" s="13"/>
      <c r="F96" s="13"/>
    </row>
    <row r="97" spans="2:14">
      <c r="B97" s="22">
        <v>3.9</v>
      </c>
      <c r="C97" s="18"/>
      <c r="D97" s="18"/>
      <c r="E97" s="18"/>
      <c r="F97" s="18"/>
    </row>
    <row r="98" spans="2:14">
      <c r="B98" s="15">
        <v>4</v>
      </c>
      <c r="D98">
        <v>210</v>
      </c>
      <c r="F98">
        <v>431</v>
      </c>
      <c r="H98">
        <v>74</v>
      </c>
      <c r="J98">
        <v>28</v>
      </c>
      <c r="L98">
        <v>221</v>
      </c>
      <c r="M98">
        <v>2.21</v>
      </c>
      <c r="N98">
        <v>0.48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Q172"/>
  <sheetViews>
    <sheetView zoomScale="145" zoomScaleNormal="145" topLeftCell="A65" workbookViewId="0">
      <selection activeCell="C57" sqref="C57"/>
    </sheetView>
  </sheetViews>
  <sheetFormatPr defaultColWidth="9" defaultRowHeight="14.25"/>
  <cols>
    <col min="2" max="2" width="11.6333333333333" customWidth="1"/>
    <col min="3" max="3" width="15.1666666666667" customWidth="1"/>
    <col min="4" max="4" width="13.0166666666667" customWidth="1"/>
    <col min="5" max="5" width="12.9333333333333" customWidth="1"/>
    <col min="6" max="6" width="6.79166666666667" customWidth="1"/>
    <col min="8" max="8" width="9.375"/>
    <col min="10" max="10" width="9.375"/>
    <col min="13" max="13" width="5.71666666666667" customWidth="1"/>
    <col min="15" max="15" width="9.375"/>
    <col min="16" max="16" width="10.6833333333333" customWidth="1"/>
    <col min="18" max="18" width="13.4416666666667" customWidth="1"/>
  </cols>
  <sheetData>
    <row r="2" spans="2:17">
      <c r="B2">
        <v>20251124</v>
      </c>
    </row>
    <row r="3" spans="2:17">
      <c r="B3" t="s">
        <v>131</v>
      </c>
    </row>
    <row r="4" spans="2:17">
      <c r="B4" t="s">
        <v>109</v>
      </c>
    </row>
    <row r="5" spans="2:17">
      <c r="B5" s="10" t="s">
        <v>121</v>
      </c>
      <c r="C5" t="s">
        <v>123</v>
      </c>
      <c r="D5" t="s">
        <v>125</v>
      </c>
      <c r="E5" s="11" t="s">
        <v>15</v>
      </c>
      <c r="H5">
        <v>20241125</v>
      </c>
      <c r="O5">
        <v>20241126</v>
      </c>
      <c r="P5" t="s">
        <v>132</v>
      </c>
    </row>
    <row r="6" spans="2:17">
      <c r="B6" s="11" t="s">
        <v>133</v>
      </c>
      <c r="I6" s="11" t="s">
        <v>15</v>
      </c>
      <c r="J6" t="s">
        <v>125</v>
      </c>
      <c r="K6" t="s">
        <v>123</v>
      </c>
      <c r="M6" t="s">
        <v>126</v>
      </c>
      <c r="P6" s="11"/>
    </row>
    <row r="7" spans="2:17">
      <c r="B7" s="12">
        <v>5</v>
      </c>
      <c r="C7" s="13">
        <v>5.5</v>
      </c>
      <c r="D7" s="13">
        <v>12</v>
      </c>
      <c r="E7">
        <v>1.46</v>
      </c>
      <c r="F7">
        <f t="array" ref="F7:F46">D7:D46-C7:C46</f>
        <v>6.5</v>
      </c>
      <c r="G7" s="3"/>
      <c r="H7" s="13">
        <v>5</v>
      </c>
      <c r="I7">
        <v>1.46</v>
      </c>
      <c r="J7">
        <v>5</v>
      </c>
      <c r="K7">
        <v>4.6</v>
      </c>
      <c r="M7">
        <f t="array" ref="M7:M46">J7:J46-K7:K46</f>
        <v>0.4</v>
      </c>
      <c r="O7" s="13"/>
    </row>
    <row r="8" spans="2:17">
      <c r="B8" s="13">
        <v>10</v>
      </c>
      <c r="C8" s="13">
        <v>10</v>
      </c>
      <c r="D8" s="13">
        <v>19</v>
      </c>
      <c r="E8" s="3">
        <v>1.49</v>
      </c>
      <c r="F8">
        <v>9</v>
      </c>
      <c r="H8" s="13">
        <v>10</v>
      </c>
      <c r="I8">
        <v>1.49</v>
      </c>
      <c r="J8">
        <v>10.6</v>
      </c>
      <c r="K8">
        <v>4.2</v>
      </c>
      <c r="M8">
        <v>6.4</v>
      </c>
      <c r="O8" s="13"/>
    </row>
    <row r="9" spans="2:17">
      <c r="B9" s="12">
        <v>15</v>
      </c>
      <c r="C9" s="13">
        <v>15.2</v>
      </c>
      <c r="D9" s="13">
        <v>26</v>
      </c>
      <c r="E9" s="3">
        <v>1.52</v>
      </c>
      <c r="F9">
        <v>10.8</v>
      </c>
      <c r="H9" s="13">
        <v>15</v>
      </c>
      <c r="I9">
        <v>1.51</v>
      </c>
      <c r="J9">
        <v>15</v>
      </c>
      <c r="K9">
        <v>7.6</v>
      </c>
      <c r="M9">
        <v>7.4</v>
      </c>
      <c r="O9" s="13"/>
    </row>
    <row r="10" spans="2:17">
      <c r="B10" s="13">
        <v>20</v>
      </c>
      <c r="C10" s="13">
        <v>20.4</v>
      </c>
      <c r="D10" s="13">
        <v>35</v>
      </c>
      <c r="E10" s="3">
        <v>1.55</v>
      </c>
      <c r="F10">
        <v>14.6</v>
      </c>
      <c r="H10" s="13">
        <v>20</v>
      </c>
      <c r="I10">
        <v>1.54</v>
      </c>
      <c r="J10">
        <v>19.8</v>
      </c>
      <c r="K10">
        <v>10.1</v>
      </c>
      <c r="M10">
        <v>9.7</v>
      </c>
      <c r="O10" s="13">
        <v>0.4095</v>
      </c>
    </row>
    <row r="11" spans="2:17">
      <c r="B11" s="12">
        <v>25</v>
      </c>
      <c r="C11" s="13">
        <v>25.1</v>
      </c>
      <c r="D11" s="13">
        <v>47</v>
      </c>
      <c r="E11" s="14">
        <v>1.64</v>
      </c>
      <c r="F11">
        <v>21.9</v>
      </c>
      <c r="H11" s="13">
        <v>25</v>
      </c>
      <c r="I11">
        <v>1.56</v>
      </c>
      <c r="J11">
        <v>25.4</v>
      </c>
      <c r="K11" s="15">
        <v>15</v>
      </c>
      <c r="M11">
        <v>10.4</v>
      </c>
      <c r="O11" s="13">
        <v>0.04275</v>
      </c>
    </row>
    <row r="12" spans="2:17">
      <c r="B12" s="13">
        <v>30</v>
      </c>
      <c r="C12" s="13">
        <v>30.5</v>
      </c>
      <c r="D12" s="13">
        <v>58</v>
      </c>
      <c r="E12" s="3">
        <v>1.74</v>
      </c>
      <c r="F12">
        <v>27.5</v>
      </c>
      <c r="H12" s="13">
        <v>30</v>
      </c>
      <c r="I12">
        <v>1.62</v>
      </c>
      <c r="J12">
        <v>30.8</v>
      </c>
      <c r="K12">
        <v>15.6</v>
      </c>
      <c r="M12">
        <v>15.2</v>
      </c>
      <c r="O12" s="13">
        <v>0.507</v>
      </c>
    </row>
    <row r="13" spans="2:17">
      <c r="B13" s="12">
        <v>35</v>
      </c>
      <c r="C13" s="13">
        <v>35.8</v>
      </c>
      <c r="D13" s="13">
        <v>67</v>
      </c>
      <c r="E13" s="3">
        <v>1.77</v>
      </c>
      <c r="F13">
        <v>31.2</v>
      </c>
      <c r="H13" s="13">
        <v>35</v>
      </c>
      <c r="I13">
        <v>1.65</v>
      </c>
      <c r="J13">
        <v>35.5</v>
      </c>
      <c r="K13" s="15">
        <v>18</v>
      </c>
      <c r="M13">
        <v>17.5</v>
      </c>
      <c r="O13" s="13"/>
    </row>
    <row r="14" spans="2:17">
      <c r="B14" s="13">
        <v>40</v>
      </c>
      <c r="C14" s="13">
        <v>40.4</v>
      </c>
      <c r="D14" s="13">
        <v>76</v>
      </c>
      <c r="E14" s="3">
        <v>1.81</v>
      </c>
      <c r="F14">
        <v>35.6</v>
      </c>
      <c r="H14" s="13">
        <v>40</v>
      </c>
      <c r="I14" s="8">
        <v>1.64</v>
      </c>
      <c r="J14" s="15">
        <v>40</v>
      </c>
      <c r="K14">
        <v>20.7</v>
      </c>
      <c r="M14">
        <v>19.3</v>
      </c>
      <c r="O14" s="13"/>
      <c r="Q14" s="15"/>
    </row>
    <row r="15" spans="2:17">
      <c r="B15" s="12">
        <v>45</v>
      </c>
      <c r="C15" s="13">
        <v>45.5</v>
      </c>
      <c r="D15" s="13">
        <v>85</v>
      </c>
      <c r="E15" s="3">
        <v>1.88</v>
      </c>
      <c r="F15">
        <v>39.5</v>
      </c>
      <c r="H15" s="13">
        <v>45</v>
      </c>
      <c r="I15">
        <v>1.67</v>
      </c>
      <c r="J15">
        <v>44.6</v>
      </c>
      <c r="K15">
        <v>23.5</v>
      </c>
      <c r="M15">
        <v>21.1</v>
      </c>
      <c r="O15" s="13"/>
    </row>
    <row r="16" spans="2:17">
      <c r="B16" s="13">
        <v>50</v>
      </c>
      <c r="C16" s="16">
        <v>50</v>
      </c>
      <c r="D16" s="13">
        <v>95</v>
      </c>
      <c r="E16" s="3">
        <v>1.95</v>
      </c>
      <c r="F16">
        <v>45</v>
      </c>
      <c r="H16" s="13">
        <v>50</v>
      </c>
      <c r="I16">
        <v>1.71</v>
      </c>
      <c r="J16">
        <v>49.7</v>
      </c>
      <c r="K16">
        <v>24.8</v>
      </c>
      <c r="M16">
        <v>24.9</v>
      </c>
      <c r="O16" s="13"/>
    </row>
    <row r="17" spans="2:15">
      <c r="B17" s="12">
        <v>55</v>
      </c>
      <c r="C17" s="13">
        <v>55.8</v>
      </c>
      <c r="D17" s="13">
        <v>105</v>
      </c>
      <c r="E17" s="14">
        <v>2</v>
      </c>
      <c r="F17">
        <v>49.2</v>
      </c>
      <c r="H17" s="13">
        <v>55</v>
      </c>
      <c r="I17">
        <v>1.75</v>
      </c>
      <c r="J17">
        <v>55.5</v>
      </c>
      <c r="K17">
        <v>28.5</v>
      </c>
      <c r="M17">
        <v>27</v>
      </c>
      <c r="O17" s="13"/>
    </row>
    <row r="18" spans="2:15">
      <c r="B18" s="13">
        <v>60</v>
      </c>
      <c r="C18" s="13">
        <v>60</v>
      </c>
      <c r="D18" s="13">
        <v>115</v>
      </c>
      <c r="E18" s="14">
        <v>2.08</v>
      </c>
      <c r="F18">
        <v>55</v>
      </c>
      <c r="H18" s="13">
        <v>60</v>
      </c>
      <c r="I18">
        <v>1.81</v>
      </c>
      <c r="J18">
        <v>62</v>
      </c>
      <c r="K18">
        <v>31.6</v>
      </c>
      <c r="M18">
        <v>30.4</v>
      </c>
      <c r="O18" s="13"/>
    </row>
    <row r="19" spans="2:15">
      <c r="B19" s="12">
        <v>65</v>
      </c>
      <c r="C19" s="16">
        <v>65</v>
      </c>
      <c r="D19" s="13">
        <v>125</v>
      </c>
      <c r="E19" s="14">
        <v>2.15</v>
      </c>
      <c r="F19">
        <v>60</v>
      </c>
      <c r="H19" s="13">
        <v>65</v>
      </c>
      <c r="I19">
        <v>1.82</v>
      </c>
      <c r="J19">
        <v>65</v>
      </c>
      <c r="K19">
        <v>34.4</v>
      </c>
      <c r="M19">
        <v>30.6</v>
      </c>
      <c r="O19" s="13"/>
    </row>
    <row r="20" spans="2:15">
      <c r="B20" s="13">
        <v>70</v>
      </c>
      <c r="C20" s="16">
        <v>70</v>
      </c>
      <c r="D20" s="13">
        <v>135</v>
      </c>
      <c r="E20" s="3">
        <v>2.2</v>
      </c>
      <c r="F20">
        <v>65</v>
      </c>
      <c r="H20" s="13">
        <v>70</v>
      </c>
      <c r="I20">
        <v>1.85</v>
      </c>
      <c r="J20">
        <v>70</v>
      </c>
      <c r="K20">
        <v>36.5</v>
      </c>
      <c r="M20">
        <v>33.5</v>
      </c>
      <c r="O20" s="13"/>
    </row>
    <row r="21" spans="2:15">
      <c r="B21" s="12">
        <v>75</v>
      </c>
      <c r="C21" s="13">
        <v>75</v>
      </c>
      <c r="D21" s="13">
        <v>145</v>
      </c>
      <c r="E21" s="3">
        <v>2.25</v>
      </c>
      <c r="F21">
        <v>70</v>
      </c>
      <c r="H21" s="13">
        <v>75</v>
      </c>
      <c r="I21">
        <v>1.92</v>
      </c>
      <c r="J21">
        <v>75.1</v>
      </c>
      <c r="K21">
        <v>39.5</v>
      </c>
      <c r="M21">
        <v>35.6</v>
      </c>
      <c r="O21" s="13"/>
    </row>
    <row r="22" spans="2:15">
      <c r="B22" s="13">
        <v>80</v>
      </c>
      <c r="C22" s="13">
        <v>80</v>
      </c>
      <c r="D22" s="13">
        <v>165</v>
      </c>
      <c r="E22" s="14">
        <v>2.3</v>
      </c>
      <c r="F22">
        <v>85</v>
      </c>
      <c r="H22" s="13">
        <v>80</v>
      </c>
      <c r="I22">
        <v>1.94</v>
      </c>
      <c r="J22">
        <v>80.8</v>
      </c>
      <c r="K22">
        <v>41.3</v>
      </c>
      <c r="M22">
        <v>39.5</v>
      </c>
      <c r="O22" s="13"/>
    </row>
    <row r="23" spans="2:15">
      <c r="B23" s="12">
        <v>85</v>
      </c>
      <c r="C23" s="13">
        <v>85</v>
      </c>
      <c r="D23" s="13">
        <v>170</v>
      </c>
      <c r="E23" s="3">
        <v>2.37</v>
      </c>
      <c r="F23">
        <v>85</v>
      </c>
      <c r="H23" s="13">
        <v>85</v>
      </c>
      <c r="I23">
        <v>1.98</v>
      </c>
      <c r="J23">
        <v>85.7</v>
      </c>
      <c r="K23">
        <v>43.8</v>
      </c>
      <c r="M23">
        <v>41.9</v>
      </c>
      <c r="O23" s="13"/>
    </row>
    <row r="24" spans="2:15">
      <c r="B24" s="13">
        <v>90</v>
      </c>
      <c r="C24" s="13">
        <v>90</v>
      </c>
      <c r="D24" s="13">
        <v>175</v>
      </c>
      <c r="E24" s="3">
        <v>2.44</v>
      </c>
      <c r="F24">
        <v>85</v>
      </c>
      <c r="H24" s="13">
        <v>90</v>
      </c>
      <c r="I24" s="8">
        <v>2</v>
      </c>
      <c r="J24">
        <v>90.1</v>
      </c>
      <c r="K24">
        <v>46.2</v>
      </c>
      <c r="M24">
        <v>43.9</v>
      </c>
      <c r="O24" s="13"/>
    </row>
    <row r="25" spans="2:15">
      <c r="B25" s="12">
        <v>95</v>
      </c>
      <c r="C25" s="17">
        <v>95</v>
      </c>
      <c r="D25" s="17">
        <v>195</v>
      </c>
      <c r="E25" s="6">
        <v>2.5</v>
      </c>
      <c r="F25">
        <v>100</v>
      </c>
      <c r="H25" s="13">
        <v>95</v>
      </c>
      <c r="I25">
        <v>2.04</v>
      </c>
      <c r="J25">
        <v>95.5</v>
      </c>
      <c r="K25">
        <v>48.5</v>
      </c>
      <c r="M25">
        <v>47</v>
      </c>
      <c r="O25" s="13"/>
    </row>
    <row r="26" spans="2:15">
      <c r="B26" s="13">
        <v>100</v>
      </c>
      <c r="C26" s="13">
        <v>100</v>
      </c>
      <c r="D26" s="13">
        <v>200</v>
      </c>
      <c r="E26" s="3">
        <v>2.57</v>
      </c>
      <c r="F26">
        <v>100</v>
      </c>
      <c r="H26" s="13">
        <v>100</v>
      </c>
      <c r="I26">
        <v>2.06</v>
      </c>
      <c r="J26">
        <v>100.6</v>
      </c>
      <c r="K26">
        <v>50</v>
      </c>
      <c r="M26">
        <v>50.6</v>
      </c>
      <c r="O26" s="13"/>
    </row>
    <row r="27" spans="2:15">
      <c r="B27" s="12">
        <v>105</v>
      </c>
      <c r="C27" s="13">
        <v>105</v>
      </c>
      <c r="D27" s="13">
        <v>205</v>
      </c>
      <c r="E27" s="3">
        <v>2.63</v>
      </c>
      <c r="F27">
        <v>100</v>
      </c>
      <c r="H27" s="13">
        <v>105</v>
      </c>
      <c r="I27">
        <v>2.1</v>
      </c>
      <c r="J27">
        <v>105</v>
      </c>
      <c r="K27">
        <v>53.2</v>
      </c>
      <c r="M27">
        <v>51.8</v>
      </c>
      <c r="O27" s="13"/>
    </row>
    <row r="28" spans="2:15">
      <c r="B28" s="13">
        <v>110</v>
      </c>
      <c r="C28" s="13">
        <v>110</v>
      </c>
      <c r="D28" s="13">
        <v>210</v>
      </c>
      <c r="E28" s="3">
        <v>2.7</v>
      </c>
      <c r="F28">
        <v>100</v>
      </c>
      <c r="H28" s="13">
        <v>110</v>
      </c>
      <c r="I28">
        <v>2.17</v>
      </c>
      <c r="J28">
        <v>110</v>
      </c>
      <c r="K28">
        <v>54.7</v>
      </c>
      <c r="M28">
        <v>55.3</v>
      </c>
      <c r="O28" s="13"/>
    </row>
    <row r="29" spans="2:15">
      <c r="B29" s="12">
        <v>115</v>
      </c>
      <c r="C29" s="13">
        <v>115</v>
      </c>
      <c r="D29" s="13">
        <v>215</v>
      </c>
      <c r="E29" s="3">
        <v>2.75</v>
      </c>
      <c r="F29">
        <v>100</v>
      </c>
      <c r="H29" s="13">
        <v>115</v>
      </c>
      <c r="I29">
        <v>2.18</v>
      </c>
      <c r="J29">
        <v>115</v>
      </c>
      <c r="K29">
        <v>57.5</v>
      </c>
      <c r="M29">
        <v>57.5</v>
      </c>
      <c r="O29" s="13"/>
    </row>
    <row r="30" spans="2:15">
      <c r="B30" s="13">
        <v>120</v>
      </c>
      <c r="C30" s="13">
        <v>120</v>
      </c>
      <c r="D30" s="13">
        <v>220</v>
      </c>
      <c r="E30" s="14">
        <v>2.8</v>
      </c>
      <c r="F30">
        <v>100</v>
      </c>
      <c r="H30" s="13">
        <v>120</v>
      </c>
      <c r="I30">
        <v>2.23</v>
      </c>
      <c r="J30">
        <v>120.5</v>
      </c>
      <c r="K30">
        <v>59.9</v>
      </c>
      <c r="M30">
        <v>60.6</v>
      </c>
      <c r="O30" s="13"/>
    </row>
    <row r="31" spans="2:15">
      <c r="B31" s="12">
        <v>125</v>
      </c>
      <c r="C31" s="18">
        <v>125</v>
      </c>
      <c r="D31" s="18">
        <v>225</v>
      </c>
      <c r="E31" s="19">
        <v>2.85</v>
      </c>
      <c r="F31">
        <v>100</v>
      </c>
      <c r="H31" s="13">
        <v>125</v>
      </c>
      <c r="I31">
        <v>2.24</v>
      </c>
      <c r="J31">
        <v>125</v>
      </c>
      <c r="K31">
        <v>62.5</v>
      </c>
      <c r="M31">
        <v>62.5</v>
      </c>
      <c r="O31" s="13"/>
    </row>
    <row r="32" spans="2:15">
      <c r="B32" s="13">
        <v>130</v>
      </c>
      <c r="C32">
        <v>130</v>
      </c>
      <c r="D32" s="13">
        <v>230</v>
      </c>
      <c r="E32">
        <v>2.9</v>
      </c>
      <c r="F32">
        <v>100</v>
      </c>
      <c r="H32" s="13">
        <v>130</v>
      </c>
      <c r="I32">
        <v>2.28</v>
      </c>
      <c r="J32">
        <v>130</v>
      </c>
      <c r="K32">
        <v>65.5</v>
      </c>
      <c r="M32">
        <v>64.5</v>
      </c>
      <c r="O32" s="13"/>
    </row>
    <row r="33" spans="2:17">
      <c r="B33" s="12">
        <v>135</v>
      </c>
      <c r="C33">
        <v>135</v>
      </c>
      <c r="D33" s="13">
        <v>235</v>
      </c>
      <c r="E33">
        <v>3.05</v>
      </c>
      <c r="F33">
        <v>100</v>
      </c>
      <c r="H33" s="13">
        <v>135</v>
      </c>
      <c r="I33" s="8">
        <v>2.29</v>
      </c>
      <c r="J33">
        <v>136.2</v>
      </c>
      <c r="K33">
        <v>66.6</v>
      </c>
      <c r="M33">
        <v>69.6</v>
      </c>
      <c r="O33" s="13"/>
    </row>
    <row r="34" spans="2:17">
      <c r="B34" s="13">
        <v>140</v>
      </c>
      <c r="C34">
        <v>140</v>
      </c>
      <c r="D34" s="13">
        <v>240</v>
      </c>
      <c r="E34">
        <v>3.12</v>
      </c>
      <c r="F34">
        <v>100</v>
      </c>
      <c r="H34" s="13">
        <v>140</v>
      </c>
      <c r="I34" s="8">
        <v>2.3</v>
      </c>
      <c r="J34">
        <v>141</v>
      </c>
      <c r="K34">
        <v>68.9</v>
      </c>
      <c r="M34">
        <v>72.1</v>
      </c>
      <c r="O34" s="13"/>
    </row>
    <row r="35" spans="2:17">
      <c r="B35" s="12">
        <v>145</v>
      </c>
      <c r="C35">
        <v>145</v>
      </c>
      <c r="D35" s="18">
        <v>245</v>
      </c>
      <c r="E35">
        <v>3.15</v>
      </c>
      <c r="F35">
        <v>100</v>
      </c>
      <c r="H35" s="13">
        <v>145</v>
      </c>
      <c r="I35">
        <v>2.34</v>
      </c>
      <c r="J35">
        <v>145</v>
      </c>
      <c r="K35">
        <v>71.2</v>
      </c>
      <c r="M35">
        <v>73.8</v>
      </c>
      <c r="O35" s="13"/>
    </row>
    <row r="36" spans="2:17">
      <c r="B36" s="13">
        <v>150</v>
      </c>
      <c r="C36">
        <v>150</v>
      </c>
      <c r="D36" s="13">
        <v>250</v>
      </c>
      <c r="E36">
        <v>3.22</v>
      </c>
      <c r="F36">
        <v>100</v>
      </c>
      <c r="H36" s="13">
        <v>150</v>
      </c>
      <c r="I36">
        <v>2.36</v>
      </c>
      <c r="J36">
        <v>150.4</v>
      </c>
      <c r="K36">
        <v>73.1</v>
      </c>
      <c r="M36">
        <v>77.3</v>
      </c>
      <c r="O36" s="13"/>
    </row>
    <row r="37" spans="2:17">
      <c r="B37" s="12">
        <v>155</v>
      </c>
      <c r="C37">
        <v>155</v>
      </c>
      <c r="D37" s="13">
        <v>255</v>
      </c>
      <c r="E37">
        <v>3.22</v>
      </c>
      <c r="F37">
        <v>100</v>
      </c>
      <c r="H37" s="13">
        <v>155</v>
      </c>
      <c r="I37">
        <v>2.39</v>
      </c>
      <c r="J37">
        <v>154.6</v>
      </c>
      <c r="K37">
        <v>75.3</v>
      </c>
      <c r="M37">
        <v>79.3</v>
      </c>
      <c r="O37" s="13"/>
    </row>
    <row r="38" spans="2:17">
      <c r="B38" s="13">
        <v>160</v>
      </c>
      <c r="C38">
        <v>160</v>
      </c>
      <c r="D38" s="13">
        <v>260</v>
      </c>
      <c r="E38">
        <v>3.32</v>
      </c>
      <c r="F38">
        <v>100</v>
      </c>
      <c r="H38" s="13">
        <v>160</v>
      </c>
      <c r="I38">
        <v>2.43</v>
      </c>
      <c r="J38">
        <v>159.9</v>
      </c>
      <c r="K38">
        <v>78.3</v>
      </c>
      <c r="M38">
        <v>81.6</v>
      </c>
      <c r="O38" s="13"/>
    </row>
    <row r="39" spans="2:17">
      <c r="B39" s="12">
        <v>165</v>
      </c>
      <c r="C39">
        <v>165</v>
      </c>
      <c r="D39" s="18">
        <v>265</v>
      </c>
      <c r="E39">
        <v>3.33</v>
      </c>
      <c r="F39">
        <v>100</v>
      </c>
      <c r="H39" s="13">
        <v>165</v>
      </c>
      <c r="I39">
        <v>2.47</v>
      </c>
      <c r="J39">
        <v>166.4</v>
      </c>
      <c r="K39">
        <v>81.5</v>
      </c>
      <c r="M39">
        <v>84.9</v>
      </c>
      <c r="O39" s="13"/>
    </row>
    <row r="40" spans="2:17">
      <c r="B40" s="13">
        <v>170</v>
      </c>
      <c r="C40">
        <v>170</v>
      </c>
      <c r="D40" s="13">
        <v>270</v>
      </c>
      <c r="E40">
        <v>3.42</v>
      </c>
      <c r="F40">
        <v>100</v>
      </c>
      <c r="H40" s="13">
        <v>170</v>
      </c>
      <c r="I40">
        <v>2.49</v>
      </c>
      <c r="J40" s="15">
        <v>171</v>
      </c>
      <c r="K40">
        <v>83.6</v>
      </c>
      <c r="M40">
        <v>87.4</v>
      </c>
      <c r="O40" s="13"/>
      <c r="Q40" s="15"/>
    </row>
    <row r="41" spans="2:17">
      <c r="B41" s="12">
        <v>175</v>
      </c>
      <c r="C41">
        <v>175</v>
      </c>
      <c r="D41" s="13">
        <v>275</v>
      </c>
      <c r="E41">
        <v>3.43</v>
      </c>
      <c r="F41">
        <v>100</v>
      </c>
      <c r="H41" s="13">
        <v>175</v>
      </c>
      <c r="I41">
        <v>2.53</v>
      </c>
      <c r="J41">
        <v>175.5</v>
      </c>
      <c r="K41">
        <v>86.5</v>
      </c>
      <c r="M41">
        <v>89</v>
      </c>
      <c r="O41" s="13"/>
    </row>
    <row r="42" spans="2:17">
      <c r="B42" s="13">
        <v>180</v>
      </c>
      <c r="C42">
        <v>180</v>
      </c>
      <c r="D42" s="13">
        <v>280</v>
      </c>
      <c r="E42">
        <v>3.52</v>
      </c>
      <c r="F42">
        <v>100</v>
      </c>
      <c r="H42" s="13">
        <v>180</v>
      </c>
      <c r="I42">
        <v>2.55</v>
      </c>
      <c r="J42">
        <v>180.7</v>
      </c>
      <c r="K42">
        <v>87.8</v>
      </c>
      <c r="M42">
        <v>92.9</v>
      </c>
      <c r="O42" s="13"/>
    </row>
    <row r="43" spans="2:17">
      <c r="B43" s="12">
        <v>185</v>
      </c>
      <c r="C43">
        <v>185</v>
      </c>
      <c r="D43" s="18">
        <v>285</v>
      </c>
      <c r="E43">
        <v>3.53</v>
      </c>
      <c r="F43">
        <v>100</v>
      </c>
      <c r="H43" s="13">
        <v>185</v>
      </c>
      <c r="I43">
        <v>2.57</v>
      </c>
      <c r="J43">
        <v>185.5</v>
      </c>
      <c r="K43">
        <v>89.8</v>
      </c>
      <c r="M43">
        <v>95.7</v>
      </c>
      <c r="O43" s="13"/>
    </row>
    <row r="44" spans="2:17">
      <c r="B44" s="13">
        <v>190</v>
      </c>
      <c r="C44">
        <v>190</v>
      </c>
      <c r="D44" s="13">
        <v>290</v>
      </c>
      <c r="E44">
        <v>3.62</v>
      </c>
      <c r="F44">
        <v>100</v>
      </c>
      <c r="H44" s="13">
        <v>190</v>
      </c>
      <c r="I44">
        <v>2.61</v>
      </c>
      <c r="J44">
        <v>191</v>
      </c>
      <c r="K44">
        <v>93.2</v>
      </c>
      <c r="M44">
        <v>97.8</v>
      </c>
      <c r="O44" s="13"/>
    </row>
    <row r="45" spans="2:17">
      <c r="B45" s="12">
        <v>195</v>
      </c>
      <c r="C45">
        <v>195</v>
      </c>
      <c r="D45" s="13">
        <v>295</v>
      </c>
      <c r="E45">
        <v>3.67</v>
      </c>
      <c r="F45">
        <v>100</v>
      </c>
      <c r="H45" s="13">
        <v>195</v>
      </c>
      <c r="I45">
        <v>2.63</v>
      </c>
      <c r="J45">
        <v>195.1</v>
      </c>
      <c r="K45">
        <v>94.1</v>
      </c>
      <c r="M45">
        <v>101</v>
      </c>
      <c r="O45" s="13"/>
    </row>
    <row r="46" spans="2:17">
      <c r="B46" s="13">
        <v>200</v>
      </c>
      <c r="C46">
        <v>200</v>
      </c>
      <c r="D46" s="13">
        <v>300</v>
      </c>
      <c r="E46">
        <v>3.72</v>
      </c>
      <c r="F46">
        <v>100</v>
      </c>
      <c r="H46" s="13">
        <v>200</v>
      </c>
      <c r="I46">
        <v>2.67</v>
      </c>
      <c r="J46">
        <v>199.9</v>
      </c>
      <c r="K46">
        <v>96.5</v>
      </c>
      <c r="M46">
        <v>103.4</v>
      </c>
      <c r="O46" s="13"/>
    </row>
    <row r="49" spans="2:17">
      <c r="B49">
        <v>20241126</v>
      </c>
    </row>
    <row r="50" spans="2:17">
      <c r="B50" t="s">
        <v>117</v>
      </c>
      <c r="C50" s="1" t="s">
        <v>134</v>
      </c>
      <c r="D50" s="1" t="s">
        <v>135</v>
      </c>
      <c r="I50" s="11" t="s">
        <v>15</v>
      </c>
      <c r="J50" t="s">
        <v>123</v>
      </c>
      <c r="K50" t="s">
        <v>124</v>
      </c>
      <c r="O50" t="s">
        <v>136</v>
      </c>
      <c r="P50" t="s">
        <v>125</v>
      </c>
    </row>
    <row r="51" spans="2:17">
      <c r="B51">
        <v>0</v>
      </c>
      <c r="C51" s="20">
        <v>0</v>
      </c>
      <c r="D51" s="2">
        <v>1.4</v>
      </c>
      <c r="H51" s="13">
        <v>200</v>
      </c>
      <c r="I51">
        <v>2.652</v>
      </c>
      <c r="J51">
        <v>90</v>
      </c>
      <c r="K51">
        <v>140</v>
      </c>
      <c r="M51">
        <f t="array" ref="M51:M90">K51:K90-J51:J90</f>
        <v>50</v>
      </c>
      <c r="N51">
        <f t="array" ref="N51:N91">M51:M91/50</f>
        <v>1</v>
      </c>
      <c r="O51">
        <v>50</v>
      </c>
      <c r="P51">
        <v>193</v>
      </c>
    </row>
    <row r="52" spans="2:17">
      <c r="B52" s="13">
        <v>5</v>
      </c>
      <c r="C52" s="12">
        <v>0.025</v>
      </c>
      <c r="D52" s="3"/>
      <c r="H52" s="13">
        <v>205</v>
      </c>
      <c r="I52">
        <v>2.691</v>
      </c>
      <c r="J52">
        <v>92.7</v>
      </c>
      <c r="K52">
        <v>144</v>
      </c>
      <c r="M52">
        <v>51.3</v>
      </c>
      <c r="N52">
        <v>1.026</v>
      </c>
      <c r="O52">
        <v>51.25</v>
      </c>
      <c r="P52">
        <v>199</v>
      </c>
    </row>
    <row r="53" spans="2:17">
      <c r="B53" s="13">
        <v>10</v>
      </c>
      <c r="C53" s="12">
        <v>0.05</v>
      </c>
      <c r="D53" s="3"/>
      <c r="H53" s="13">
        <v>210</v>
      </c>
      <c r="I53">
        <v>2.823</v>
      </c>
      <c r="J53">
        <v>81.8</v>
      </c>
      <c r="K53">
        <v>134.5</v>
      </c>
      <c r="M53">
        <v>52.7</v>
      </c>
      <c r="N53">
        <v>1.054</v>
      </c>
      <c r="O53">
        <v>52.5</v>
      </c>
      <c r="Q53" t="s">
        <v>137</v>
      </c>
    </row>
    <row r="54" spans="2:17">
      <c r="B54" s="13">
        <v>15</v>
      </c>
      <c r="C54" s="12">
        <v>0.075</v>
      </c>
      <c r="D54" s="3"/>
      <c r="H54" s="13">
        <v>215</v>
      </c>
      <c r="I54">
        <v>2.888</v>
      </c>
      <c r="J54">
        <v>86.2</v>
      </c>
      <c r="K54">
        <v>140</v>
      </c>
      <c r="M54">
        <v>53.8</v>
      </c>
      <c r="N54">
        <v>1.076</v>
      </c>
      <c r="O54">
        <v>53.75</v>
      </c>
    </row>
    <row r="55" spans="2:17">
      <c r="B55" s="13">
        <v>20</v>
      </c>
      <c r="C55" s="12">
        <v>0.1</v>
      </c>
      <c r="D55" s="3">
        <v>1.55</v>
      </c>
      <c r="H55" s="13">
        <v>220</v>
      </c>
      <c r="I55">
        <v>2.918</v>
      </c>
      <c r="J55">
        <v>85.5</v>
      </c>
      <c r="K55" s="15">
        <v>141</v>
      </c>
      <c r="M55">
        <v>55.5</v>
      </c>
      <c r="N55">
        <v>1.11</v>
      </c>
      <c r="O55">
        <v>55</v>
      </c>
    </row>
    <row r="56" spans="2:17">
      <c r="B56" s="13">
        <v>25</v>
      </c>
      <c r="C56" s="12">
        <v>0.125</v>
      </c>
      <c r="D56" s="3"/>
      <c r="H56" s="13">
        <v>225</v>
      </c>
      <c r="J56" s="15"/>
      <c r="M56">
        <v>0</v>
      </c>
      <c r="N56">
        <v>0</v>
      </c>
      <c r="O56">
        <v>56.25</v>
      </c>
    </row>
    <row r="57" spans="2:17">
      <c r="B57" s="13">
        <v>30</v>
      </c>
      <c r="C57" s="12">
        <v>0.15</v>
      </c>
      <c r="D57" s="3"/>
      <c r="H57" s="13">
        <v>230</v>
      </c>
      <c r="M57">
        <v>0</v>
      </c>
      <c r="N57">
        <v>0</v>
      </c>
      <c r="O57">
        <v>57.5</v>
      </c>
    </row>
    <row r="58" spans="2:17">
      <c r="B58" s="13">
        <v>35</v>
      </c>
      <c r="C58" s="12">
        <v>0.175</v>
      </c>
      <c r="D58" s="3"/>
      <c r="H58" s="13">
        <v>235</v>
      </c>
      <c r="I58" s="8"/>
      <c r="J58">
        <v>87.6</v>
      </c>
      <c r="K58" s="15">
        <v>148.5</v>
      </c>
      <c r="M58">
        <v>60.9</v>
      </c>
      <c r="N58">
        <v>1.218</v>
      </c>
      <c r="O58">
        <v>58.75</v>
      </c>
    </row>
    <row r="59" spans="2:17">
      <c r="B59" s="13">
        <v>40</v>
      </c>
      <c r="C59" s="12">
        <v>0.2</v>
      </c>
      <c r="D59" s="3">
        <v>1.65</v>
      </c>
      <c r="H59" s="13">
        <v>240</v>
      </c>
      <c r="I59">
        <v>2.945</v>
      </c>
      <c r="J59">
        <v>89.5</v>
      </c>
      <c r="K59">
        <v>150</v>
      </c>
      <c r="M59">
        <v>60.5</v>
      </c>
      <c r="N59">
        <v>1.21</v>
      </c>
      <c r="O59">
        <v>60</v>
      </c>
    </row>
    <row r="60" spans="2:17">
      <c r="B60" s="13">
        <v>45</v>
      </c>
      <c r="C60" s="12">
        <v>0.225</v>
      </c>
      <c r="D60" s="3"/>
      <c r="H60" s="13">
        <v>245</v>
      </c>
      <c r="M60">
        <v>0</v>
      </c>
      <c r="N60">
        <v>0</v>
      </c>
      <c r="O60">
        <v>61.25</v>
      </c>
    </row>
    <row r="61" spans="2:17">
      <c r="B61" s="13">
        <v>50</v>
      </c>
      <c r="C61" s="12">
        <v>0.25</v>
      </c>
      <c r="D61" s="3"/>
      <c r="H61" s="13">
        <v>250</v>
      </c>
      <c r="M61">
        <v>0</v>
      </c>
      <c r="N61">
        <v>0</v>
      </c>
      <c r="O61">
        <v>62.5</v>
      </c>
    </row>
    <row r="62" spans="2:17">
      <c r="B62" s="13">
        <v>55</v>
      </c>
      <c r="C62" s="12">
        <v>0.275</v>
      </c>
      <c r="D62" s="3"/>
      <c r="H62" s="13">
        <v>255</v>
      </c>
      <c r="M62">
        <v>0</v>
      </c>
      <c r="N62">
        <v>0</v>
      </c>
      <c r="O62">
        <v>63.75</v>
      </c>
    </row>
    <row r="63" spans="2:17">
      <c r="B63" s="13">
        <v>60</v>
      </c>
      <c r="C63" s="12">
        <v>0.3</v>
      </c>
      <c r="D63" s="3">
        <v>1.8</v>
      </c>
      <c r="H63" s="13">
        <v>260</v>
      </c>
      <c r="M63">
        <v>0</v>
      </c>
      <c r="N63">
        <v>0</v>
      </c>
      <c r="O63">
        <v>65</v>
      </c>
    </row>
    <row r="64" spans="2:17">
      <c r="B64" s="13">
        <v>65</v>
      </c>
      <c r="C64" s="12">
        <v>0.325</v>
      </c>
      <c r="D64" s="3"/>
      <c r="H64" s="13">
        <v>265</v>
      </c>
      <c r="M64">
        <v>0</v>
      </c>
      <c r="N64">
        <v>0</v>
      </c>
      <c r="O64">
        <v>66.25</v>
      </c>
    </row>
    <row r="65" spans="2:15">
      <c r="B65" s="13">
        <v>70</v>
      </c>
      <c r="C65" s="12">
        <v>0.35</v>
      </c>
      <c r="D65" s="3"/>
      <c r="H65" s="13">
        <v>270</v>
      </c>
      <c r="M65">
        <v>0</v>
      </c>
      <c r="N65">
        <v>0</v>
      </c>
      <c r="O65">
        <v>67.5</v>
      </c>
    </row>
    <row r="66" spans="2:15">
      <c r="B66" s="13">
        <v>75</v>
      </c>
      <c r="C66" s="12">
        <v>0.375</v>
      </c>
      <c r="D66" s="3"/>
      <c r="H66" s="13">
        <v>275</v>
      </c>
      <c r="M66">
        <v>0</v>
      </c>
      <c r="N66">
        <v>0</v>
      </c>
      <c r="O66">
        <v>68.75</v>
      </c>
    </row>
    <row r="67" spans="2:15">
      <c r="B67" s="13">
        <v>80</v>
      </c>
      <c r="C67" s="12">
        <v>0.4</v>
      </c>
      <c r="D67" s="3">
        <v>1.96</v>
      </c>
      <c r="H67" s="13">
        <v>280</v>
      </c>
      <c r="M67">
        <v>0</v>
      </c>
      <c r="N67">
        <v>0</v>
      </c>
      <c r="O67">
        <v>70</v>
      </c>
    </row>
    <row r="68" spans="2:15">
      <c r="B68" s="13">
        <v>85</v>
      </c>
      <c r="C68" s="12">
        <v>0.425</v>
      </c>
      <c r="D68" s="3"/>
      <c r="H68" s="13">
        <v>285</v>
      </c>
      <c r="I68">
        <v>3.217</v>
      </c>
      <c r="J68">
        <v>107</v>
      </c>
      <c r="K68">
        <v>178.5</v>
      </c>
      <c r="M68">
        <v>71.5</v>
      </c>
      <c r="N68">
        <v>1.43</v>
      </c>
      <c r="O68">
        <v>71.25</v>
      </c>
    </row>
    <row r="69" spans="2:15">
      <c r="B69" s="13">
        <v>90</v>
      </c>
      <c r="C69" s="12">
        <v>0.45</v>
      </c>
      <c r="D69" s="3"/>
      <c r="H69" s="13">
        <v>290</v>
      </c>
      <c r="M69">
        <v>0</v>
      </c>
      <c r="N69">
        <v>0</v>
      </c>
      <c r="O69">
        <v>72.5</v>
      </c>
    </row>
    <row r="70" spans="2:15">
      <c r="B70" s="13">
        <v>95</v>
      </c>
      <c r="C70" s="12">
        <v>0.475</v>
      </c>
      <c r="D70" s="3"/>
      <c r="H70" s="13">
        <v>295</v>
      </c>
      <c r="M70">
        <v>0</v>
      </c>
      <c r="N70">
        <v>0</v>
      </c>
      <c r="O70">
        <v>73.75</v>
      </c>
    </row>
    <row r="71" spans="2:15">
      <c r="B71" s="13">
        <v>100</v>
      </c>
      <c r="C71" s="12">
        <v>0.5</v>
      </c>
      <c r="D71" s="3">
        <v>2.05</v>
      </c>
      <c r="H71" s="13">
        <v>300</v>
      </c>
      <c r="M71">
        <v>0</v>
      </c>
      <c r="N71">
        <v>0</v>
      </c>
      <c r="O71">
        <v>75</v>
      </c>
    </row>
    <row r="72" spans="2:15">
      <c r="B72" s="13">
        <v>105</v>
      </c>
      <c r="C72" s="12">
        <v>0.525</v>
      </c>
      <c r="D72" s="3"/>
      <c r="H72" s="13">
        <v>305</v>
      </c>
      <c r="M72">
        <v>0</v>
      </c>
      <c r="N72">
        <v>0</v>
      </c>
      <c r="O72">
        <v>76.25</v>
      </c>
    </row>
    <row r="73" spans="2:15">
      <c r="B73" s="13">
        <v>110</v>
      </c>
      <c r="C73" s="12">
        <v>0.55</v>
      </c>
      <c r="D73" s="3"/>
      <c r="H73" s="13">
        <v>310</v>
      </c>
      <c r="M73">
        <v>0</v>
      </c>
      <c r="N73">
        <v>0</v>
      </c>
      <c r="O73">
        <v>77.5</v>
      </c>
    </row>
    <row r="74" spans="2:15">
      <c r="B74" s="13">
        <v>115</v>
      </c>
      <c r="C74" s="12">
        <v>0.575</v>
      </c>
      <c r="D74" s="3"/>
      <c r="H74" s="13">
        <v>315</v>
      </c>
      <c r="M74">
        <v>0</v>
      </c>
      <c r="N74">
        <v>0</v>
      </c>
      <c r="O74">
        <v>78.75</v>
      </c>
    </row>
    <row r="75" spans="2:15">
      <c r="B75" s="13">
        <v>120</v>
      </c>
      <c r="C75" s="12">
        <v>0.6</v>
      </c>
      <c r="D75" s="3">
        <v>2.2</v>
      </c>
      <c r="H75" s="13">
        <v>320</v>
      </c>
      <c r="M75">
        <v>0</v>
      </c>
      <c r="N75">
        <v>0</v>
      </c>
      <c r="O75">
        <v>80</v>
      </c>
    </row>
    <row r="76" spans="2:15">
      <c r="B76" s="13">
        <v>125</v>
      </c>
      <c r="C76" s="12">
        <v>0.625</v>
      </c>
      <c r="D76" s="3"/>
      <c r="H76" s="13">
        <v>325</v>
      </c>
      <c r="M76">
        <v>0</v>
      </c>
      <c r="N76">
        <v>0</v>
      </c>
      <c r="O76">
        <v>81.25</v>
      </c>
    </row>
    <row r="77" spans="2:15">
      <c r="B77" s="13">
        <v>130</v>
      </c>
      <c r="C77" s="12">
        <v>0.65</v>
      </c>
      <c r="D77" s="3"/>
      <c r="H77" s="13">
        <v>330</v>
      </c>
      <c r="I77" s="8"/>
      <c r="M77">
        <v>0</v>
      </c>
      <c r="N77">
        <v>0</v>
      </c>
      <c r="O77">
        <v>82.5</v>
      </c>
    </row>
    <row r="78" spans="2:15">
      <c r="B78" s="13">
        <v>135</v>
      </c>
      <c r="C78" s="12">
        <v>0.675</v>
      </c>
      <c r="D78" s="3"/>
      <c r="H78" s="13">
        <v>335</v>
      </c>
      <c r="I78" s="8"/>
      <c r="M78">
        <v>0</v>
      </c>
      <c r="N78">
        <v>0</v>
      </c>
      <c r="O78">
        <v>83.75</v>
      </c>
    </row>
    <row r="79" spans="2:15">
      <c r="B79" s="13">
        <v>140</v>
      </c>
      <c r="C79" s="12">
        <v>0.7</v>
      </c>
      <c r="D79" s="3">
        <v>2.295</v>
      </c>
      <c r="H79" s="13">
        <v>340</v>
      </c>
      <c r="M79">
        <v>0</v>
      </c>
      <c r="N79">
        <v>0</v>
      </c>
      <c r="O79">
        <v>85</v>
      </c>
    </row>
    <row r="80" spans="2:15">
      <c r="B80" s="13">
        <v>145</v>
      </c>
      <c r="C80" s="12">
        <v>0.725</v>
      </c>
      <c r="D80" s="3"/>
      <c r="H80" s="13">
        <v>345</v>
      </c>
      <c r="M80">
        <v>0</v>
      </c>
      <c r="N80">
        <v>0</v>
      </c>
      <c r="O80">
        <v>86.25</v>
      </c>
    </row>
    <row r="81" spans="2:15">
      <c r="B81" s="13">
        <v>150</v>
      </c>
      <c r="C81" s="12">
        <v>0.75</v>
      </c>
      <c r="D81" s="3"/>
      <c r="H81" s="13">
        <v>350</v>
      </c>
      <c r="M81">
        <v>0</v>
      </c>
      <c r="N81">
        <v>0</v>
      </c>
      <c r="O81">
        <v>87.5</v>
      </c>
    </row>
    <row r="82" spans="2:15">
      <c r="B82" s="13">
        <v>155</v>
      </c>
      <c r="C82" s="12">
        <v>0.775</v>
      </c>
      <c r="D82" s="3"/>
      <c r="H82" s="13">
        <v>355</v>
      </c>
      <c r="M82">
        <v>0</v>
      </c>
      <c r="N82">
        <v>0</v>
      </c>
      <c r="O82">
        <v>88.75</v>
      </c>
    </row>
    <row r="83" spans="2:15">
      <c r="B83" s="13">
        <v>160</v>
      </c>
      <c r="C83" s="12">
        <v>0.8</v>
      </c>
      <c r="D83" s="3">
        <v>2.41</v>
      </c>
      <c r="H83" s="13">
        <v>360</v>
      </c>
      <c r="M83">
        <v>0</v>
      </c>
      <c r="N83">
        <v>0</v>
      </c>
      <c r="O83">
        <v>90</v>
      </c>
    </row>
    <row r="84" spans="2:15">
      <c r="B84" s="13">
        <v>165</v>
      </c>
      <c r="C84" s="12">
        <v>0.825</v>
      </c>
      <c r="D84" s="3"/>
      <c r="H84" s="13">
        <v>365</v>
      </c>
      <c r="J84" s="15"/>
      <c r="M84">
        <v>0</v>
      </c>
      <c r="N84">
        <v>0</v>
      </c>
      <c r="O84">
        <v>91.25</v>
      </c>
    </row>
    <row r="85" spans="2:15">
      <c r="B85" s="13">
        <v>170</v>
      </c>
      <c r="C85" s="12">
        <v>0.85</v>
      </c>
      <c r="D85" s="3"/>
      <c r="H85" s="13">
        <v>370</v>
      </c>
      <c r="M85">
        <v>0</v>
      </c>
      <c r="N85">
        <v>0</v>
      </c>
      <c r="O85">
        <v>92.5</v>
      </c>
    </row>
    <row r="86" spans="2:15">
      <c r="B86" s="13">
        <v>175</v>
      </c>
      <c r="C86" s="12">
        <v>0.875</v>
      </c>
      <c r="D86" s="3"/>
      <c r="H86" s="13">
        <v>375</v>
      </c>
      <c r="M86">
        <v>0</v>
      </c>
      <c r="N86">
        <v>0</v>
      </c>
      <c r="O86">
        <v>93.75</v>
      </c>
    </row>
    <row r="87" spans="2:15">
      <c r="B87" s="13">
        <v>180</v>
      </c>
      <c r="C87" s="12">
        <v>0.9</v>
      </c>
      <c r="D87" s="3">
        <v>2.54</v>
      </c>
      <c r="H87" s="13">
        <v>380</v>
      </c>
      <c r="M87">
        <v>0</v>
      </c>
      <c r="N87">
        <v>0</v>
      </c>
      <c r="O87">
        <v>95</v>
      </c>
    </row>
    <row r="88" spans="2:15">
      <c r="B88" s="13">
        <v>185</v>
      </c>
      <c r="C88" s="12">
        <v>0.925</v>
      </c>
      <c r="D88" s="3"/>
      <c r="H88" s="13">
        <v>385</v>
      </c>
      <c r="M88">
        <v>0</v>
      </c>
      <c r="N88">
        <v>0</v>
      </c>
      <c r="O88">
        <v>96.25</v>
      </c>
    </row>
    <row r="89" spans="2:15">
      <c r="B89" s="13">
        <v>190</v>
      </c>
      <c r="C89" s="12">
        <v>0.95</v>
      </c>
      <c r="D89" s="3"/>
      <c r="H89" s="13">
        <v>390</v>
      </c>
      <c r="M89">
        <v>0</v>
      </c>
      <c r="N89">
        <v>0</v>
      </c>
      <c r="O89">
        <v>97.5</v>
      </c>
    </row>
    <row r="90" spans="2:15">
      <c r="B90" s="13">
        <v>195</v>
      </c>
      <c r="C90" s="12">
        <v>0.975</v>
      </c>
      <c r="D90" s="3"/>
      <c r="H90" s="13">
        <v>395</v>
      </c>
      <c r="J90">
        <v>300</v>
      </c>
      <c r="K90">
        <v>400</v>
      </c>
      <c r="M90">
        <v>100</v>
      </c>
      <c r="N90">
        <v>2</v>
      </c>
      <c r="O90">
        <v>200</v>
      </c>
    </row>
    <row r="91" spans="2:15">
      <c r="B91" s="13">
        <v>200</v>
      </c>
      <c r="C91" s="12">
        <v>1</v>
      </c>
      <c r="D91" s="3">
        <v>2.62</v>
      </c>
      <c r="N91">
        <v>0</v>
      </c>
    </row>
    <row r="92" spans="2:15">
      <c r="B92" s="17">
        <v>205</v>
      </c>
      <c r="C92" s="21">
        <v>1.025</v>
      </c>
      <c r="D92" s="6">
        <v>2.6525</v>
      </c>
      <c r="E92" s="1" t="s">
        <v>119</v>
      </c>
      <c r="F92" s="1"/>
    </row>
    <row r="93" spans="2:15">
      <c r="B93" s="13">
        <v>210</v>
      </c>
      <c r="C93" s="12">
        <v>1.05</v>
      </c>
      <c r="D93" s="3">
        <v>2.685</v>
      </c>
    </row>
    <row r="94" spans="2:15">
      <c r="B94" s="13">
        <v>215</v>
      </c>
      <c r="C94" s="12">
        <v>1.075</v>
      </c>
      <c r="D94" s="6">
        <v>2.7175</v>
      </c>
    </row>
    <row r="95" spans="2:15">
      <c r="B95" s="13">
        <v>220</v>
      </c>
      <c r="C95" s="21">
        <v>1.1</v>
      </c>
      <c r="D95" s="3">
        <v>2.75</v>
      </c>
      <c r="E95" s="1" t="s">
        <v>119</v>
      </c>
    </row>
    <row r="96" spans="2:15">
      <c r="B96" s="13">
        <v>225</v>
      </c>
      <c r="C96" s="12">
        <v>1.125</v>
      </c>
      <c r="D96" s="3">
        <v>2.7825</v>
      </c>
    </row>
    <row r="97" spans="2:4">
      <c r="B97" s="13">
        <v>230</v>
      </c>
      <c r="C97" s="12">
        <v>1.15</v>
      </c>
      <c r="D97" s="6">
        <v>2.815</v>
      </c>
    </row>
    <row r="98" spans="2:4">
      <c r="B98" s="13">
        <v>235</v>
      </c>
      <c r="C98" s="12">
        <v>1.175</v>
      </c>
      <c r="D98" s="3">
        <v>2.8475</v>
      </c>
    </row>
    <row r="99" spans="2:4">
      <c r="B99" s="13">
        <v>240</v>
      </c>
      <c r="C99" s="12">
        <v>1.2</v>
      </c>
      <c r="D99" s="6">
        <v>2.88</v>
      </c>
    </row>
    <row r="100" spans="2:4">
      <c r="B100" s="13">
        <v>245</v>
      </c>
      <c r="C100" s="12">
        <v>1.225</v>
      </c>
      <c r="D100" s="3">
        <v>2.9125</v>
      </c>
    </row>
    <row r="101" spans="2:4">
      <c r="B101" s="13">
        <v>250</v>
      </c>
      <c r="C101" s="12">
        <v>1.25</v>
      </c>
      <c r="D101" s="3">
        <v>2.945</v>
      </c>
    </row>
    <row r="102" spans="2:4">
      <c r="B102" s="13">
        <v>255</v>
      </c>
      <c r="C102" s="12">
        <v>1.275</v>
      </c>
      <c r="D102" s="6">
        <v>2.9775</v>
      </c>
    </row>
    <row r="103" spans="2:4">
      <c r="B103" s="13">
        <v>260</v>
      </c>
      <c r="C103" s="12">
        <v>1.3</v>
      </c>
      <c r="D103" s="3">
        <v>3.01</v>
      </c>
    </row>
    <row r="104" spans="2:4">
      <c r="B104" s="13">
        <v>265</v>
      </c>
      <c r="C104" s="12">
        <v>1.325</v>
      </c>
      <c r="D104" s="6">
        <v>3.0425</v>
      </c>
    </row>
    <row r="105" spans="2:4">
      <c r="B105" s="13">
        <v>270</v>
      </c>
      <c r="C105" s="12">
        <v>1.35</v>
      </c>
      <c r="D105" s="3">
        <v>3.075</v>
      </c>
    </row>
    <row r="106" spans="2:4">
      <c r="B106" s="13">
        <v>275</v>
      </c>
      <c r="C106" s="12">
        <v>1.375</v>
      </c>
      <c r="D106" s="3">
        <v>3.1075</v>
      </c>
    </row>
    <row r="107" spans="2:4">
      <c r="B107" s="13">
        <v>280</v>
      </c>
      <c r="C107" s="12">
        <v>1.4</v>
      </c>
      <c r="D107" s="6">
        <v>3.14</v>
      </c>
    </row>
    <row r="108" spans="2:4">
      <c r="B108" s="13">
        <v>285</v>
      </c>
      <c r="C108" s="12">
        <v>1.425</v>
      </c>
      <c r="D108" s="3">
        <v>3.1725</v>
      </c>
    </row>
    <row r="109" spans="2:4">
      <c r="B109" s="13">
        <v>290</v>
      </c>
      <c r="C109" s="12">
        <v>1.45</v>
      </c>
      <c r="D109" s="6">
        <v>3.205</v>
      </c>
    </row>
    <row r="110" spans="2:4">
      <c r="B110" s="13">
        <v>295</v>
      </c>
      <c r="C110" s="12">
        <v>1.475</v>
      </c>
      <c r="D110" s="3">
        <v>3.2375</v>
      </c>
    </row>
    <row r="111" spans="2:4">
      <c r="B111" s="13">
        <v>300</v>
      </c>
      <c r="C111" s="12">
        <v>1.5</v>
      </c>
      <c r="D111" s="3">
        <v>3.26999999999999</v>
      </c>
    </row>
    <row r="112" spans="2:4">
      <c r="B112" s="13">
        <v>305</v>
      </c>
      <c r="C112" s="12">
        <v>1.525</v>
      </c>
      <c r="D112" s="6">
        <v>3.30249999999999</v>
      </c>
    </row>
    <row r="113" spans="2:4">
      <c r="B113" s="13">
        <v>310</v>
      </c>
      <c r="C113" s="12">
        <v>1.55</v>
      </c>
      <c r="D113" s="3">
        <v>3.33499999999999</v>
      </c>
    </row>
    <row r="114" spans="2:4">
      <c r="B114" s="13">
        <v>315</v>
      </c>
      <c r="C114" s="12">
        <v>1.575</v>
      </c>
      <c r="D114" s="6">
        <v>3.36749999999999</v>
      </c>
    </row>
    <row r="115" spans="2:4">
      <c r="B115" s="13">
        <v>320</v>
      </c>
      <c r="C115" s="12">
        <v>1.6</v>
      </c>
      <c r="D115" s="3">
        <v>3.39999999999999</v>
      </c>
    </row>
    <row r="116" spans="2:4">
      <c r="B116" s="13">
        <v>325</v>
      </c>
      <c r="C116" s="12">
        <v>1.625</v>
      </c>
      <c r="D116" s="3">
        <v>3.43249999999999</v>
      </c>
    </row>
    <row r="117" spans="2:4">
      <c r="B117" s="13">
        <v>330</v>
      </c>
      <c r="C117" s="12">
        <v>1.65</v>
      </c>
      <c r="D117" s="6">
        <v>3.46499999999999</v>
      </c>
    </row>
    <row r="118" spans="2:4">
      <c r="B118" s="13">
        <v>335</v>
      </c>
      <c r="C118" s="12">
        <v>1.675</v>
      </c>
      <c r="D118" s="3">
        <v>3.49749999999999</v>
      </c>
    </row>
    <row r="119" spans="2:4">
      <c r="B119" s="13">
        <v>340</v>
      </c>
      <c r="C119" s="12">
        <v>1.7</v>
      </c>
      <c r="D119" s="6">
        <v>3.52999999999999</v>
      </c>
    </row>
    <row r="120" spans="2:4">
      <c r="B120" s="13">
        <v>345</v>
      </c>
      <c r="C120" s="12">
        <v>1.725</v>
      </c>
      <c r="D120" s="3">
        <v>3.56249999999999</v>
      </c>
    </row>
    <row r="121" spans="2:4">
      <c r="B121" s="13">
        <v>350</v>
      </c>
      <c r="C121" s="12">
        <v>1.75</v>
      </c>
      <c r="D121" s="3">
        <v>3.59499999999999</v>
      </c>
    </row>
    <row r="122" spans="2:4">
      <c r="B122" s="13">
        <v>355</v>
      </c>
      <c r="C122" s="12">
        <v>1.775</v>
      </c>
      <c r="D122" s="6">
        <v>3.62749999999999</v>
      </c>
    </row>
    <row r="123" spans="2:4">
      <c r="B123" s="13">
        <v>360</v>
      </c>
      <c r="C123" s="12">
        <v>1.8</v>
      </c>
      <c r="D123" s="3">
        <v>3.65999999999999</v>
      </c>
    </row>
    <row r="124" spans="2:4">
      <c r="B124" s="13">
        <v>365</v>
      </c>
      <c r="C124" s="12">
        <v>1.825</v>
      </c>
      <c r="D124" s="6">
        <v>3.69249999999999</v>
      </c>
    </row>
    <row r="125" spans="2:4">
      <c r="B125" s="13">
        <v>370</v>
      </c>
      <c r="C125" s="12">
        <v>1.85</v>
      </c>
      <c r="D125" s="3">
        <v>3.72499999999999</v>
      </c>
    </row>
    <row r="126" spans="2:4">
      <c r="B126" s="13">
        <v>375</v>
      </c>
      <c r="C126" s="12">
        <v>1.875</v>
      </c>
      <c r="D126" s="3">
        <v>3.75749999999999</v>
      </c>
    </row>
    <row r="127" spans="2:4">
      <c r="B127" s="13">
        <v>380</v>
      </c>
      <c r="C127" s="12">
        <v>1.9</v>
      </c>
      <c r="D127" s="6">
        <v>3.78999999999999</v>
      </c>
    </row>
    <row r="128" spans="2:4">
      <c r="B128" s="13">
        <v>385</v>
      </c>
      <c r="C128" s="12">
        <v>1.925</v>
      </c>
      <c r="D128" s="3">
        <v>3.82249999999999</v>
      </c>
    </row>
    <row r="129" spans="2:5">
      <c r="B129" s="13">
        <v>390</v>
      </c>
      <c r="C129" s="12">
        <v>1.95</v>
      </c>
      <c r="D129" s="6">
        <v>3.85499999999999</v>
      </c>
    </row>
    <row r="130" spans="2:5">
      <c r="B130" s="13">
        <v>395</v>
      </c>
      <c r="C130" s="12">
        <v>1.975</v>
      </c>
      <c r="D130" s="3">
        <v>3.88749999999999</v>
      </c>
    </row>
    <row r="131" spans="2:5">
      <c r="B131" s="13">
        <v>400</v>
      </c>
      <c r="C131" s="22">
        <v>2</v>
      </c>
      <c r="D131" s="3">
        <v>3.91999999999999</v>
      </c>
      <c r="E131" t="s">
        <v>119</v>
      </c>
    </row>
    <row r="136" spans="2:5">
      <c r="B136">
        <v>20241126</v>
      </c>
      <c r="C136" t="s">
        <v>138</v>
      </c>
      <c r="D136" s="1"/>
    </row>
    <row r="137" spans="2:5">
      <c r="B137" s="1" t="s">
        <v>135</v>
      </c>
      <c r="C137" t="s">
        <v>139</v>
      </c>
      <c r="D137" t="s">
        <v>140</v>
      </c>
      <c r="E137" t="s">
        <v>141</v>
      </c>
    </row>
    <row r="138" spans="2:5">
      <c r="B138" s="2">
        <v>1.4</v>
      </c>
      <c r="C138" s="20">
        <v>0</v>
      </c>
      <c r="D138">
        <v>0</v>
      </c>
    </row>
    <row r="139" spans="2:5">
      <c r="B139" s="3">
        <v>1.5</v>
      </c>
      <c r="C139" s="12">
        <v>-12</v>
      </c>
      <c r="D139" s="13">
        <v>7.3</v>
      </c>
      <c r="E139">
        <v>14.4</v>
      </c>
    </row>
    <row r="140" spans="2:5">
      <c r="B140" s="2">
        <v>1.6</v>
      </c>
      <c r="C140" s="12">
        <v>-4</v>
      </c>
      <c r="D140" s="13">
        <v>12.7</v>
      </c>
      <c r="E140">
        <v>25.9</v>
      </c>
    </row>
    <row r="141" spans="2:5">
      <c r="B141" s="3">
        <v>1.7</v>
      </c>
      <c r="C141">
        <v>0</v>
      </c>
      <c r="D141">
        <v>18.6</v>
      </c>
      <c r="E141">
        <v>37.4</v>
      </c>
    </row>
    <row r="142" spans="2:5">
      <c r="B142" s="2">
        <v>1.8</v>
      </c>
      <c r="C142">
        <v>-10</v>
      </c>
      <c r="D142">
        <v>24.4</v>
      </c>
      <c r="E142">
        <v>48.8</v>
      </c>
    </row>
    <row r="143" spans="2:5">
      <c r="B143" s="3">
        <v>1.9</v>
      </c>
      <c r="D143">
        <v>33.5</v>
      </c>
      <c r="E143">
        <v>64.2</v>
      </c>
    </row>
    <row r="144" spans="2:5">
      <c r="B144">
        <v>20241126</v>
      </c>
      <c r="C144" t="s">
        <v>138</v>
      </c>
      <c r="D144" s="1"/>
    </row>
    <row r="145" spans="2:8">
      <c r="B145" s="1" t="s">
        <v>135</v>
      </c>
      <c r="C145" t="s">
        <v>139</v>
      </c>
      <c r="D145" t="s">
        <v>142</v>
      </c>
      <c r="E145" t="s">
        <v>143</v>
      </c>
      <c r="H145" t="s">
        <v>144</v>
      </c>
    </row>
    <row r="146" spans="2:8">
      <c r="B146" s="2">
        <v>1.4</v>
      </c>
      <c r="D146">
        <v>10</v>
      </c>
      <c r="E146">
        <v>15</v>
      </c>
      <c r="F146">
        <f t="array" ref="F146:F172">E146:E172/D146:D172</f>
        <v>1.5</v>
      </c>
    </row>
    <row r="147" spans="2:8">
      <c r="B147" s="3">
        <v>1.5</v>
      </c>
      <c r="C147">
        <v>219</v>
      </c>
      <c r="D147">
        <v>9</v>
      </c>
      <c r="E147">
        <v>18.4</v>
      </c>
      <c r="F147">
        <v>2.04444444444444</v>
      </c>
      <c r="G147">
        <v>0.9</v>
      </c>
    </row>
    <row r="148" spans="2:8">
      <c r="B148" s="2">
        <v>1.6</v>
      </c>
      <c r="C148">
        <v>154</v>
      </c>
      <c r="D148">
        <v>15.6</v>
      </c>
      <c r="E148">
        <v>32</v>
      </c>
      <c r="F148">
        <v>2.05128205128205</v>
      </c>
      <c r="G148">
        <v>0.16</v>
      </c>
    </row>
    <row r="149" spans="2:8">
      <c r="B149" s="3">
        <v>1.7</v>
      </c>
      <c r="C149">
        <v>119</v>
      </c>
      <c r="D149">
        <v>23</v>
      </c>
      <c r="E149">
        <v>46</v>
      </c>
      <c r="F149">
        <v>2</v>
      </c>
      <c r="G149">
        <v>0.23</v>
      </c>
    </row>
    <row r="150" spans="2:8">
      <c r="B150" s="2">
        <v>1.8</v>
      </c>
      <c r="C150">
        <v>100</v>
      </c>
      <c r="D150">
        <v>32.1</v>
      </c>
      <c r="E150">
        <v>64</v>
      </c>
      <c r="F150">
        <v>1.99376947040498</v>
      </c>
      <c r="G150">
        <v>0.32</v>
      </c>
    </row>
    <row r="151" spans="2:8">
      <c r="B151" s="3">
        <v>1.9</v>
      </c>
      <c r="C151">
        <v>88</v>
      </c>
      <c r="D151">
        <v>40.4</v>
      </c>
      <c r="E151">
        <v>80.7</v>
      </c>
      <c r="F151">
        <v>1.99752475247525</v>
      </c>
      <c r="G151">
        <v>0.4</v>
      </c>
    </row>
    <row r="152" spans="2:8">
      <c r="B152" s="2">
        <v>2</v>
      </c>
      <c r="C152">
        <v>78</v>
      </c>
      <c r="D152">
        <v>50</v>
      </c>
      <c r="E152">
        <v>99.4</v>
      </c>
      <c r="F152">
        <v>1.988</v>
      </c>
      <c r="G152">
        <v>0.5</v>
      </c>
      <c r="H152">
        <v>124</v>
      </c>
    </row>
    <row r="153" spans="2:8">
      <c r="B153" s="3">
        <v>2.1</v>
      </c>
      <c r="C153">
        <v>56</v>
      </c>
      <c r="D153">
        <v>56.4</v>
      </c>
      <c r="E153">
        <v>113</v>
      </c>
      <c r="F153">
        <v>2.00354609929078</v>
      </c>
      <c r="H153">
        <v>116</v>
      </c>
    </row>
    <row r="154" spans="2:8">
      <c r="B154" s="2">
        <v>2.2</v>
      </c>
      <c r="C154">
        <v>43</v>
      </c>
      <c r="D154">
        <v>67</v>
      </c>
      <c r="E154">
        <v>132.4</v>
      </c>
      <c r="F154">
        <v>1.97611940298507</v>
      </c>
    </row>
    <row r="155" spans="2:8">
      <c r="B155" s="3">
        <v>2.3</v>
      </c>
      <c r="C155">
        <v>34</v>
      </c>
      <c r="D155">
        <v>73.6</v>
      </c>
      <c r="E155">
        <v>146</v>
      </c>
      <c r="F155">
        <v>1.98369565217391</v>
      </c>
      <c r="G155">
        <v>1.24</v>
      </c>
      <c r="H155">
        <v>115</v>
      </c>
    </row>
    <row r="156" spans="2:8">
      <c r="B156" s="2">
        <v>2.4</v>
      </c>
      <c r="C156">
        <v>23</v>
      </c>
      <c r="D156">
        <v>78.8</v>
      </c>
      <c r="E156">
        <v>158</v>
      </c>
      <c r="F156">
        <v>2.00507614213198</v>
      </c>
      <c r="H156">
        <v>109</v>
      </c>
    </row>
    <row r="157" spans="2:8">
      <c r="B157" s="3">
        <v>2.5</v>
      </c>
      <c r="C157">
        <v>21</v>
      </c>
      <c r="D157">
        <v>88</v>
      </c>
      <c r="E157">
        <v>176</v>
      </c>
      <c r="F157">
        <v>2</v>
      </c>
      <c r="G157">
        <v>0.75</v>
      </c>
      <c r="H157">
        <v>110</v>
      </c>
    </row>
    <row r="158" spans="2:8">
      <c r="B158" s="2">
        <v>2.6</v>
      </c>
      <c r="C158">
        <v>19</v>
      </c>
      <c r="D158">
        <v>97</v>
      </c>
      <c r="E158">
        <v>194</v>
      </c>
      <c r="F158">
        <v>2</v>
      </c>
      <c r="H158">
        <v>110</v>
      </c>
    </row>
    <row r="159" spans="2:8">
      <c r="B159" s="3">
        <v>2.7</v>
      </c>
      <c r="C159">
        <v>17</v>
      </c>
      <c r="D159">
        <v>105.8</v>
      </c>
      <c r="E159">
        <v>210.4</v>
      </c>
      <c r="F159">
        <v>1.98865784499055</v>
      </c>
      <c r="H159">
        <v>110</v>
      </c>
    </row>
    <row r="160" spans="2:8">
      <c r="B160" s="2">
        <v>2.8</v>
      </c>
      <c r="C160">
        <v>15</v>
      </c>
      <c r="D160">
        <v>117.4</v>
      </c>
      <c r="E160">
        <v>236</v>
      </c>
      <c r="F160">
        <v>2.01022146507666</v>
      </c>
      <c r="H160">
        <v>111</v>
      </c>
    </row>
    <row r="161" spans="2:8">
      <c r="B161" s="3">
        <v>2.9</v>
      </c>
      <c r="C161">
        <v>14</v>
      </c>
      <c r="D161">
        <v>128</v>
      </c>
      <c r="E161">
        <v>256</v>
      </c>
      <c r="F161">
        <v>2</v>
      </c>
      <c r="H161">
        <v>111</v>
      </c>
    </row>
    <row r="162" spans="2:8">
      <c r="B162" s="2">
        <v>3</v>
      </c>
      <c r="F162" t="e">
        <v>#DIV/0!</v>
      </c>
    </row>
    <row r="163" spans="2:8">
      <c r="B163" s="3">
        <v>3.1</v>
      </c>
      <c r="F163" t="e">
        <v>#DIV/0!</v>
      </c>
    </row>
    <row r="164" spans="2:8">
      <c r="B164" s="2">
        <v>3.2</v>
      </c>
      <c r="F164" t="e">
        <v>#DIV/0!</v>
      </c>
    </row>
    <row r="165" spans="2:8">
      <c r="B165" s="3">
        <v>3.3</v>
      </c>
      <c r="F165" t="e">
        <v>#DIV/0!</v>
      </c>
    </row>
    <row r="166" spans="2:8">
      <c r="B166" s="2">
        <v>3.4</v>
      </c>
      <c r="F166" t="e">
        <v>#DIV/0!</v>
      </c>
    </row>
    <row r="167" spans="2:8">
      <c r="B167" s="3">
        <v>3.5</v>
      </c>
      <c r="F167" t="e">
        <v>#DIV/0!</v>
      </c>
    </row>
    <row r="168" spans="2:8">
      <c r="B168" s="2">
        <v>3.6</v>
      </c>
      <c r="F168" t="e">
        <v>#DIV/0!</v>
      </c>
    </row>
    <row r="169" spans="2:8">
      <c r="B169" s="3">
        <v>3.7</v>
      </c>
      <c r="F169" t="e">
        <v>#DIV/0!</v>
      </c>
    </row>
    <row r="170" spans="2:8">
      <c r="B170" s="2">
        <v>3.8</v>
      </c>
      <c r="F170" t="e">
        <v>#DIV/0!</v>
      </c>
    </row>
    <row r="171" spans="2:8">
      <c r="B171" s="3">
        <v>3.9</v>
      </c>
      <c r="F171" t="e">
        <v>#DIV/0!</v>
      </c>
    </row>
    <row r="172" spans="2:8">
      <c r="B172" s="2">
        <v>4</v>
      </c>
      <c r="F172" t="e">
        <v>#DIV/0!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7:T101"/>
  <sheetViews>
    <sheetView tabSelected="1" zoomScale="160" zoomScaleNormal="160" topLeftCell="A52" workbookViewId="0">
      <selection activeCell="G74" sqref="G74"/>
    </sheetView>
  </sheetViews>
  <sheetFormatPr defaultColWidth="9" defaultRowHeight="14.25"/>
  <cols>
    <col min="2" max="2" width="17.5" customWidth="1"/>
    <col min="3" max="3" width="13.1166666666667" customWidth="1"/>
    <col min="5" max="5" width="9.36666666666667" customWidth="1"/>
    <col min="10" max="10" width="9.375"/>
    <col min="11" max="11" width="9.525" customWidth="1"/>
    <col min="14" max="14" width="11.875" customWidth="1"/>
    <col min="16" max="16" width="5.61666666666667" customWidth="1"/>
    <col min="17" max="17" width="12.1" customWidth="1"/>
    <col min="18" max="18" width="14.2916666666667" customWidth="1"/>
    <col min="19" max="19" width="12.65" customWidth="1"/>
  </cols>
  <sheetData>
    <row r="7" spans="2:19">
      <c r="J7">
        <v>20251127</v>
      </c>
      <c r="K7" t="s">
        <v>145</v>
      </c>
    </row>
    <row r="8" spans="2:19">
      <c r="J8" t="s">
        <v>146</v>
      </c>
      <c r="K8" s="1"/>
      <c r="L8" s="1"/>
      <c r="M8" s="1"/>
      <c r="N8" s="1"/>
      <c r="P8" t="s">
        <v>147</v>
      </c>
      <c r="Q8" t="s">
        <v>148</v>
      </c>
    </row>
    <row r="9" spans="2:19">
      <c r="B9" s="1" t="s">
        <v>135</v>
      </c>
      <c r="C9" t="s">
        <v>149</v>
      </c>
      <c r="E9" t="s">
        <v>150</v>
      </c>
      <c r="F9" t="s">
        <v>151</v>
      </c>
      <c r="J9" s="1" t="s">
        <v>135</v>
      </c>
      <c r="K9" t="s">
        <v>149</v>
      </c>
      <c r="L9" t="s">
        <v>150</v>
      </c>
      <c r="M9" t="s">
        <v>152</v>
      </c>
      <c r="N9" t="s">
        <v>153</v>
      </c>
      <c r="O9" t="s">
        <v>154</v>
      </c>
      <c r="P9" t="s">
        <v>155</v>
      </c>
      <c r="Q9" t="s">
        <v>156</v>
      </c>
      <c r="R9" t="s">
        <v>157</v>
      </c>
      <c r="S9" t="s">
        <v>116</v>
      </c>
    </row>
    <row r="10" spans="2:19">
      <c r="B10" s="2">
        <v>1.4</v>
      </c>
      <c r="C10">
        <v>52.7</v>
      </c>
      <c r="D10">
        <v>91</v>
      </c>
      <c r="E10">
        <v>12</v>
      </c>
      <c r="J10" s="2">
        <v>1.4</v>
      </c>
    </row>
    <row r="11" spans="2:19">
      <c r="B11" s="3">
        <v>1.5</v>
      </c>
      <c r="C11">
        <v>50</v>
      </c>
      <c r="D11">
        <v>86.25</v>
      </c>
      <c r="E11">
        <v>9</v>
      </c>
      <c r="F11">
        <v>62</v>
      </c>
      <c r="J11" s="3">
        <v>1.5</v>
      </c>
      <c r="K11">
        <v>47</v>
      </c>
      <c r="L11">
        <v>62</v>
      </c>
      <c r="M11">
        <v>286</v>
      </c>
      <c r="N11">
        <v>0</v>
      </c>
      <c r="O11">
        <v>384</v>
      </c>
      <c r="P11">
        <v>6.5</v>
      </c>
      <c r="Q11">
        <v>398</v>
      </c>
      <c r="R11">
        <v>408</v>
      </c>
    </row>
    <row r="12" spans="2:19">
      <c r="B12" s="2">
        <v>1.6</v>
      </c>
      <c r="C12">
        <v>46</v>
      </c>
      <c r="D12">
        <v>81.6</v>
      </c>
      <c r="E12">
        <v>7</v>
      </c>
      <c r="F12">
        <v>22</v>
      </c>
      <c r="J12" s="2">
        <v>1.6</v>
      </c>
      <c r="K12">
        <v>45.5</v>
      </c>
      <c r="L12">
        <v>56</v>
      </c>
      <c r="M12">
        <v>204</v>
      </c>
      <c r="N12">
        <v>241</v>
      </c>
      <c r="O12">
        <v>300</v>
      </c>
      <c r="P12">
        <v>6.5</v>
      </c>
      <c r="Q12">
        <v>311</v>
      </c>
      <c r="R12">
        <v>320</v>
      </c>
    </row>
    <row r="13" spans="2:19">
      <c r="B13" s="3">
        <v>1.7</v>
      </c>
      <c r="C13">
        <v>43.5</v>
      </c>
      <c r="D13">
        <v>80</v>
      </c>
      <c r="E13">
        <v>6</v>
      </c>
      <c r="F13">
        <v>15</v>
      </c>
      <c r="J13" s="3">
        <v>1.7</v>
      </c>
      <c r="K13">
        <v>41.5</v>
      </c>
      <c r="L13">
        <v>51.5</v>
      </c>
      <c r="M13">
        <v>168</v>
      </c>
      <c r="N13">
        <v>185.5</v>
      </c>
      <c r="O13">
        <v>264</v>
      </c>
      <c r="P13">
        <v>6.5</v>
      </c>
      <c r="Q13">
        <v>276.5</v>
      </c>
      <c r="R13">
        <v>285.5</v>
      </c>
      <c r="S13">
        <v>99.6</v>
      </c>
    </row>
    <row r="14" spans="2:19">
      <c r="B14" s="2">
        <v>1.8</v>
      </c>
      <c r="C14">
        <v>41</v>
      </c>
      <c r="D14">
        <v>78.3</v>
      </c>
      <c r="E14">
        <v>5</v>
      </c>
      <c r="F14">
        <v>15</v>
      </c>
      <c r="G14" t="s">
        <v>158</v>
      </c>
      <c r="J14" s="2">
        <v>1.8</v>
      </c>
      <c r="K14">
        <v>39</v>
      </c>
      <c r="L14">
        <v>49</v>
      </c>
      <c r="M14">
        <v>139</v>
      </c>
      <c r="N14">
        <v>150</v>
      </c>
      <c r="O14">
        <v>229.1</v>
      </c>
      <c r="Q14">
        <v>241</v>
      </c>
      <c r="R14">
        <v>254.5</v>
      </c>
      <c r="S14">
        <v>108.5</v>
      </c>
    </row>
    <row r="15" spans="2:19">
      <c r="B15" s="3">
        <v>1.9</v>
      </c>
      <c r="C15">
        <v>39</v>
      </c>
      <c r="D15">
        <v>76.95</v>
      </c>
      <c r="E15">
        <v>4</v>
      </c>
      <c r="F15">
        <v>15</v>
      </c>
      <c r="J15" s="3">
        <v>1.9</v>
      </c>
      <c r="K15">
        <v>36</v>
      </c>
      <c r="L15">
        <v>44</v>
      </c>
      <c r="M15">
        <v>119</v>
      </c>
      <c r="N15">
        <v>132</v>
      </c>
      <c r="O15">
        <v>220.5</v>
      </c>
      <c r="Q15">
        <v>232</v>
      </c>
      <c r="R15">
        <v>246</v>
      </c>
    </row>
    <row r="16" spans="2:19">
      <c r="B16" s="2">
        <v>2</v>
      </c>
      <c r="C16">
        <v>36.9</v>
      </c>
      <c r="D16">
        <v>76</v>
      </c>
      <c r="E16">
        <v>3.5</v>
      </c>
      <c r="F16">
        <v>15</v>
      </c>
      <c r="J16" s="2">
        <v>2</v>
      </c>
      <c r="K16">
        <v>34</v>
      </c>
      <c r="L16">
        <v>41.5</v>
      </c>
      <c r="M16">
        <v>106.5</v>
      </c>
      <c r="N16">
        <v>114.5</v>
      </c>
      <c r="O16">
        <v>207</v>
      </c>
      <c r="Q16">
        <v>219.5</v>
      </c>
      <c r="R16">
        <v>234</v>
      </c>
      <c r="S16">
        <v>114.7</v>
      </c>
    </row>
    <row r="17" spans="2:19">
      <c r="B17" s="3">
        <v>2.1</v>
      </c>
      <c r="C17">
        <v>35.1</v>
      </c>
      <c r="D17">
        <v>74.55</v>
      </c>
      <c r="E17">
        <v>2</v>
      </c>
      <c r="F17">
        <v>15</v>
      </c>
      <c r="J17" s="3">
        <v>2.1</v>
      </c>
      <c r="K17">
        <v>32</v>
      </c>
      <c r="L17">
        <v>39</v>
      </c>
      <c r="M17">
        <v>93</v>
      </c>
      <c r="N17">
        <v>106</v>
      </c>
      <c r="O17">
        <v>193.7</v>
      </c>
      <c r="Q17">
        <v>207.5</v>
      </c>
      <c r="R17">
        <v>223</v>
      </c>
      <c r="S17">
        <v>116.8</v>
      </c>
    </row>
    <row r="18" spans="2:19">
      <c r="B18" s="2">
        <v>2.2</v>
      </c>
      <c r="C18">
        <v>33.5</v>
      </c>
      <c r="D18">
        <v>74.8</v>
      </c>
      <c r="E18">
        <v>1</v>
      </c>
      <c r="F18">
        <v>15</v>
      </c>
      <c r="J18" s="2">
        <v>2.2</v>
      </c>
      <c r="K18">
        <v>29.5</v>
      </c>
      <c r="L18">
        <v>37</v>
      </c>
      <c r="M18">
        <v>87</v>
      </c>
      <c r="N18">
        <v>101</v>
      </c>
      <c r="O18">
        <v>188.1</v>
      </c>
      <c r="Q18">
        <v>201</v>
      </c>
      <c r="R18">
        <v>216.5</v>
      </c>
      <c r="S18">
        <v>116.2</v>
      </c>
    </row>
    <row r="19" spans="2:19">
      <c r="B19" s="3">
        <v>2.3</v>
      </c>
      <c r="C19">
        <v>32.1</v>
      </c>
      <c r="D19">
        <v>73.6</v>
      </c>
      <c r="F19">
        <v>15</v>
      </c>
      <c r="J19" s="3">
        <v>2.3</v>
      </c>
    </row>
    <row r="20" spans="2:19">
      <c r="B20" s="2">
        <v>2.4</v>
      </c>
      <c r="C20">
        <v>30.75</v>
      </c>
      <c r="D20">
        <v>74.4</v>
      </c>
      <c r="F20">
        <v>15</v>
      </c>
      <c r="J20" s="2">
        <v>2.4</v>
      </c>
      <c r="K20">
        <v>27.5</v>
      </c>
      <c r="L20">
        <v>33</v>
      </c>
      <c r="M20">
        <v>69.5</v>
      </c>
      <c r="N20">
        <v>82.5</v>
      </c>
      <c r="O20">
        <v>170.4</v>
      </c>
      <c r="Q20">
        <v>184.5</v>
      </c>
      <c r="R20">
        <v>201</v>
      </c>
      <c r="S20">
        <v>118.7</v>
      </c>
    </row>
    <row r="21" spans="2:19">
      <c r="B21" s="3">
        <v>2.5</v>
      </c>
      <c r="C21">
        <v>29.5</v>
      </c>
      <c r="D21">
        <v>73.75</v>
      </c>
      <c r="E21">
        <v>46</v>
      </c>
      <c r="F21">
        <v>15</v>
      </c>
      <c r="J21" s="3">
        <v>2.5</v>
      </c>
    </row>
    <row r="22" spans="2:19">
      <c r="B22" s="2">
        <v>2.6</v>
      </c>
      <c r="C22">
        <v>28.4</v>
      </c>
      <c r="D22">
        <v>72.8</v>
      </c>
      <c r="F22">
        <v>15</v>
      </c>
      <c r="J22" s="2">
        <v>2.6</v>
      </c>
      <c r="K22">
        <v>25.5</v>
      </c>
      <c r="L22">
        <v>31</v>
      </c>
      <c r="M22">
        <v>64.5</v>
      </c>
      <c r="N22">
        <v>75.5</v>
      </c>
      <c r="O22">
        <v>162.7</v>
      </c>
      <c r="Q22">
        <v>176.5</v>
      </c>
      <c r="R22">
        <v>194</v>
      </c>
      <c r="S22">
        <v>118.6</v>
      </c>
    </row>
    <row r="23" spans="2:19">
      <c r="B23" s="3">
        <v>2.7</v>
      </c>
      <c r="C23">
        <v>27.3</v>
      </c>
      <c r="D23">
        <v>72.9</v>
      </c>
      <c r="F23">
        <v>15</v>
      </c>
      <c r="J23" s="3">
        <v>2.7</v>
      </c>
    </row>
    <row r="24" spans="2:19">
      <c r="B24" s="2">
        <v>2.8</v>
      </c>
      <c r="C24">
        <v>26.4</v>
      </c>
      <c r="D24">
        <v>72.8</v>
      </c>
      <c r="F24">
        <v>15</v>
      </c>
      <c r="J24" s="2">
        <v>2.8</v>
      </c>
      <c r="K24">
        <v>22.5</v>
      </c>
      <c r="L24">
        <v>30</v>
      </c>
      <c r="M24" s="4">
        <v>56.5</v>
      </c>
      <c r="N24">
        <v>66</v>
      </c>
      <c r="O24">
        <v>151.5</v>
      </c>
      <c r="Q24">
        <v>167.5</v>
      </c>
      <c r="R24">
        <v>184.5</v>
      </c>
      <c r="S24">
        <v>118.5</v>
      </c>
    </row>
    <row r="25" spans="2:19">
      <c r="B25" s="3">
        <v>2.9</v>
      </c>
      <c r="C25">
        <v>25.5</v>
      </c>
      <c r="D25">
        <v>72.5</v>
      </c>
      <c r="F25">
        <v>15</v>
      </c>
      <c r="J25" s="3">
        <v>2.9</v>
      </c>
    </row>
    <row r="26" spans="2:19">
      <c r="B26" s="2">
        <v>3</v>
      </c>
      <c r="C26">
        <v>24.6</v>
      </c>
      <c r="D26">
        <v>73.5</v>
      </c>
      <c r="F26">
        <v>15</v>
      </c>
      <c r="J26" s="2">
        <v>3</v>
      </c>
      <c r="K26">
        <v>21.5</v>
      </c>
      <c r="L26">
        <v>29</v>
      </c>
      <c r="M26">
        <v>54</v>
      </c>
      <c r="N26">
        <v>61</v>
      </c>
      <c r="O26">
        <v>147.6</v>
      </c>
      <c r="Q26">
        <v>162</v>
      </c>
      <c r="R26">
        <v>180.5</v>
      </c>
      <c r="S26">
        <v>119.1</v>
      </c>
    </row>
    <row r="27" spans="2:19">
      <c r="B27" s="3">
        <v>3.1</v>
      </c>
      <c r="C27">
        <v>23.8</v>
      </c>
      <c r="D27">
        <v>72.85</v>
      </c>
      <c r="F27">
        <v>15</v>
      </c>
      <c r="J27" s="3">
        <v>3.1</v>
      </c>
    </row>
    <row r="28" spans="2:19">
      <c r="B28" s="2">
        <v>3.2</v>
      </c>
      <c r="C28">
        <v>23.06</v>
      </c>
      <c r="D28">
        <v>73.6</v>
      </c>
      <c r="E28">
        <v>23</v>
      </c>
      <c r="F28">
        <v>15</v>
      </c>
      <c r="J28" s="5">
        <v>3.2</v>
      </c>
      <c r="K28">
        <v>20.5</v>
      </c>
      <c r="L28">
        <v>26.5</v>
      </c>
      <c r="M28">
        <v>49</v>
      </c>
      <c r="N28">
        <v>56.5</v>
      </c>
      <c r="O28">
        <v>143.5</v>
      </c>
      <c r="Q28">
        <v>158.5</v>
      </c>
      <c r="R28">
        <v>177</v>
      </c>
      <c r="S28">
        <v>120.2</v>
      </c>
    </row>
    <row r="29" spans="2:19">
      <c r="B29" s="3">
        <v>3.3</v>
      </c>
      <c r="C29">
        <v>22.36</v>
      </c>
      <c r="D29">
        <v>74.25</v>
      </c>
      <c r="E29">
        <v>22.5</v>
      </c>
      <c r="F29">
        <v>15</v>
      </c>
      <c r="J29" s="6">
        <v>3.3</v>
      </c>
    </row>
    <row r="30" spans="2:19">
      <c r="B30" s="2">
        <v>3.4</v>
      </c>
      <c r="C30">
        <v>21.7</v>
      </c>
      <c r="D30">
        <v>74.8</v>
      </c>
      <c r="E30">
        <v>21</v>
      </c>
      <c r="F30">
        <v>15</v>
      </c>
      <c r="J30" s="5">
        <v>3.4</v>
      </c>
      <c r="K30">
        <v>18.5</v>
      </c>
      <c r="L30">
        <v>26</v>
      </c>
      <c r="M30">
        <v>45</v>
      </c>
      <c r="N30">
        <v>54</v>
      </c>
      <c r="O30">
        <v>140.3</v>
      </c>
      <c r="Q30">
        <v>155</v>
      </c>
      <c r="R30">
        <v>173.5</v>
      </c>
      <c r="S30">
        <v>120.2</v>
      </c>
    </row>
    <row r="31" spans="2:19">
      <c r="B31" s="3">
        <v>3.5</v>
      </c>
      <c r="C31">
        <v>21</v>
      </c>
      <c r="D31">
        <v>73.5</v>
      </c>
      <c r="E31">
        <v>20.5</v>
      </c>
      <c r="F31">
        <v>15</v>
      </c>
      <c r="J31" s="6">
        <v>3.5</v>
      </c>
    </row>
    <row r="32" spans="2:19">
      <c r="B32" s="2">
        <v>3.6</v>
      </c>
      <c r="C32">
        <v>20.5</v>
      </c>
      <c r="D32">
        <v>73.8</v>
      </c>
      <c r="E32">
        <v>20</v>
      </c>
      <c r="F32">
        <v>15</v>
      </c>
      <c r="J32" s="5">
        <v>3.6</v>
      </c>
      <c r="K32">
        <v>18</v>
      </c>
      <c r="L32">
        <v>25</v>
      </c>
      <c r="M32">
        <v>40</v>
      </c>
      <c r="N32">
        <v>52.5</v>
      </c>
      <c r="O32">
        <v>139.3</v>
      </c>
      <c r="Q32">
        <v>152.5</v>
      </c>
      <c r="R32">
        <v>172</v>
      </c>
      <c r="S32">
        <v>120.4</v>
      </c>
    </row>
    <row r="33" spans="2:20">
      <c r="B33" s="3">
        <v>3.7</v>
      </c>
      <c r="C33">
        <v>19.95</v>
      </c>
      <c r="D33">
        <v>73.8</v>
      </c>
      <c r="E33">
        <v>19.5</v>
      </c>
      <c r="F33">
        <v>15</v>
      </c>
      <c r="J33" s="6">
        <v>3.7</v>
      </c>
    </row>
    <row r="34" spans="2:20">
      <c r="B34" s="2">
        <v>3.8</v>
      </c>
      <c r="C34">
        <v>19.45</v>
      </c>
      <c r="D34">
        <v>73.8</v>
      </c>
      <c r="E34">
        <v>19</v>
      </c>
      <c r="F34">
        <v>15</v>
      </c>
      <c r="J34" s="5">
        <v>3.8</v>
      </c>
      <c r="K34">
        <v>17.5</v>
      </c>
      <c r="L34">
        <v>24.5</v>
      </c>
      <c r="M34">
        <v>36.5</v>
      </c>
      <c r="N34">
        <v>48</v>
      </c>
      <c r="O34">
        <v>133.9</v>
      </c>
      <c r="Q34">
        <v>147</v>
      </c>
      <c r="R34">
        <v>170</v>
      </c>
      <c r="S34">
        <v>121.5</v>
      </c>
    </row>
    <row r="35" spans="2:20">
      <c r="B35" s="3">
        <v>3.9</v>
      </c>
      <c r="C35">
        <v>18.92</v>
      </c>
      <c r="D35">
        <v>73.8</v>
      </c>
      <c r="E35">
        <v>18.5</v>
      </c>
      <c r="F35">
        <v>15</v>
      </c>
      <c r="J35" s="6">
        <v>3.9</v>
      </c>
    </row>
    <row r="36" spans="2:20">
      <c r="B36" s="2">
        <v>4</v>
      </c>
      <c r="C36">
        <v>18.45</v>
      </c>
      <c r="D36">
        <v>73.8</v>
      </c>
      <c r="E36">
        <v>18</v>
      </c>
      <c r="F36">
        <v>15</v>
      </c>
      <c r="J36" s="5">
        <v>4</v>
      </c>
      <c r="K36">
        <v>16.5</v>
      </c>
      <c r="L36">
        <v>23</v>
      </c>
      <c r="M36">
        <v>35</v>
      </c>
      <c r="N36">
        <v>44.5</v>
      </c>
      <c r="O36">
        <v>131.5</v>
      </c>
      <c r="Q36">
        <v>146</v>
      </c>
      <c r="R36">
        <v>167.5</v>
      </c>
      <c r="S36">
        <v>121.9</v>
      </c>
    </row>
    <row r="37" spans="2:20">
      <c r="J37" s="1"/>
    </row>
    <row r="38" spans="2:20">
      <c r="J38" s="1"/>
    </row>
    <row r="39" ht="28.5" spans="2:20">
      <c r="B39" s="7" t="s">
        <v>159</v>
      </c>
      <c r="C39" t="s">
        <v>123</v>
      </c>
      <c r="D39" t="s">
        <v>160</v>
      </c>
      <c r="E39" t="s">
        <v>125</v>
      </c>
      <c r="J39" s="1"/>
    </row>
    <row r="40" spans="2:20">
      <c r="B40" t="s">
        <v>161</v>
      </c>
      <c r="D40" s="1" t="s">
        <v>135</v>
      </c>
      <c r="E40" s="1" t="s">
        <v>135</v>
      </c>
      <c r="J40" s="1">
        <v>20251127</v>
      </c>
    </row>
    <row r="41" spans="2:20">
      <c r="B41">
        <v>5</v>
      </c>
      <c r="C41">
        <v>1.43</v>
      </c>
      <c r="D41">
        <v>1.42</v>
      </c>
      <c r="E41" s="2">
        <v>1.42</v>
      </c>
      <c r="J41" s="1" t="s">
        <v>162</v>
      </c>
      <c r="K41" s="1"/>
      <c r="L41" s="1"/>
      <c r="M41" s="1"/>
      <c r="N41" s="1"/>
      <c r="P41" t="s">
        <v>147</v>
      </c>
      <c r="Q41" t="s">
        <v>148</v>
      </c>
    </row>
    <row r="42" spans="2:20">
      <c r="B42">
        <v>10</v>
      </c>
      <c r="C42">
        <v>1.48</v>
      </c>
      <c r="D42">
        <v>1.465</v>
      </c>
      <c r="E42" s="3">
        <v>1.45</v>
      </c>
      <c r="J42" s="1" t="s">
        <v>135</v>
      </c>
      <c r="K42" t="s">
        <v>149</v>
      </c>
      <c r="L42" t="s">
        <v>150</v>
      </c>
      <c r="M42" t="s">
        <v>152</v>
      </c>
      <c r="N42" t="s">
        <v>153</v>
      </c>
      <c r="O42" t="s">
        <v>154</v>
      </c>
      <c r="P42" t="s">
        <v>155</v>
      </c>
      <c r="Q42" t="s">
        <v>156</v>
      </c>
      <c r="R42" t="s">
        <v>157</v>
      </c>
      <c r="S42" t="s">
        <v>116</v>
      </c>
      <c r="T42" t="s">
        <v>163</v>
      </c>
    </row>
    <row r="43" spans="2:20">
      <c r="B43">
        <v>15</v>
      </c>
      <c r="C43" s="4">
        <v>1.6</v>
      </c>
      <c r="D43">
        <v>1.53</v>
      </c>
      <c r="E43" s="2">
        <v>1.47</v>
      </c>
      <c r="J43" s="5">
        <v>1.4</v>
      </c>
    </row>
    <row r="44" spans="2:20">
      <c r="B44">
        <v>20</v>
      </c>
      <c r="C44">
        <v>1.65</v>
      </c>
      <c r="D44">
        <v>1.6</v>
      </c>
      <c r="E44" s="3">
        <v>1.5</v>
      </c>
      <c r="J44" s="6">
        <v>1.5</v>
      </c>
      <c r="K44">
        <v>47</v>
      </c>
      <c r="L44">
        <v>15</v>
      </c>
      <c r="M44">
        <v>240</v>
      </c>
      <c r="O44">
        <v>384</v>
      </c>
      <c r="P44">
        <v>6.5</v>
      </c>
      <c r="Q44">
        <v>14</v>
      </c>
      <c r="R44">
        <v>408</v>
      </c>
    </row>
    <row r="45" spans="2:20">
      <c r="B45">
        <v>25</v>
      </c>
      <c r="C45">
        <v>1.69</v>
      </c>
      <c r="D45">
        <v>1.66</v>
      </c>
      <c r="E45" s="2">
        <v>1.535</v>
      </c>
      <c r="J45" s="2">
        <v>1.6</v>
      </c>
      <c r="K45">
        <v>45.5</v>
      </c>
      <c r="L45">
        <v>10</v>
      </c>
      <c r="M45">
        <v>160</v>
      </c>
      <c r="O45">
        <v>300</v>
      </c>
      <c r="P45">
        <v>6.5</v>
      </c>
      <c r="Q45">
        <v>11</v>
      </c>
      <c r="R45">
        <v>320</v>
      </c>
    </row>
    <row r="46" spans="2:20">
      <c r="B46">
        <v>30</v>
      </c>
      <c r="C46">
        <v>1.77</v>
      </c>
      <c r="D46">
        <v>1.7</v>
      </c>
      <c r="E46" s="3">
        <v>1.545</v>
      </c>
      <c r="J46" s="3">
        <v>1.7</v>
      </c>
      <c r="K46">
        <v>41.5</v>
      </c>
      <c r="L46">
        <v>10</v>
      </c>
      <c r="M46">
        <v>108</v>
      </c>
      <c r="N46">
        <v>25</v>
      </c>
      <c r="O46">
        <v>264</v>
      </c>
      <c r="P46">
        <v>6.5</v>
      </c>
      <c r="Q46">
        <v>12.5</v>
      </c>
      <c r="R46">
        <v>285.5</v>
      </c>
      <c r="S46">
        <v>99.6</v>
      </c>
    </row>
    <row r="47" spans="2:20">
      <c r="B47">
        <v>35</v>
      </c>
      <c r="C47">
        <v>1.84</v>
      </c>
      <c r="D47">
        <v>1.76</v>
      </c>
      <c r="E47" s="2">
        <v>1.605</v>
      </c>
      <c r="J47" s="2">
        <v>1.8</v>
      </c>
      <c r="K47">
        <v>39</v>
      </c>
      <c r="L47">
        <v>10</v>
      </c>
      <c r="M47">
        <v>90</v>
      </c>
      <c r="N47">
        <v>23</v>
      </c>
      <c r="O47">
        <v>229.1</v>
      </c>
      <c r="Q47">
        <v>11.9</v>
      </c>
      <c r="R47">
        <v>254.5</v>
      </c>
      <c r="S47">
        <v>108.5</v>
      </c>
    </row>
    <row r="48" spans="2:20">
      <c r="B48">
        <v>40</v>
      </c>
      <c r="C48">
        <v>1.92</v>
      </c>
      <c r="D48">
        <v>1.828</v>
      </c>
      <c r="E48" s="3">
        <v>1.655</v>
      </c>
      <c r="J48" s="3">
        <v>1.9</v>
      </c>
      <c r="K48">
        <v>36</v>
      </c>
      <c r="L48">
        <v>8</v>
      </c>
      <c r="M48">
        <v>70</v>
      </c>
      <c r="N48">
        <v>21</v>
      </c>
      <c r="O48">
        <v>220.5</v>
      </c>
      <c r="Q48">
        <v>11.5</v>
      </c>
      <c r="R48">
        <v>246</v>
      </c>
    </row>
    <row r="49" spans="2:19">
      <c r="B49">
        <v>45</v>
      </c>
      <c r="C49">
        <v>2</v>
      </c>
      <c r="D49">
        <v>1.87</v>
      </c>
      <c r="E49" s="2">
        <v>1.695</v>
      </c>
      <c r="J49" s="2">
        <v>2</v>
      </c>
      <c r="K49">
        <v>34</v>
      </c>
      <c r="L49">
        <v>8</v>
      </c>
      <c r="M49">
        <v>57</v>
      </c>
      <c r="N49">
        <v>19</v>
      </c>
      <c r="O49">
        <v>207</v>
      </c>
      <c r="Q49">
        <v>12.5</v>
      </c>
      <c r="R49">
        <v>234</v>
      </c>
      <c r="S49">
        <v>114.7</v>
      </c>
    </row>
    <row r="50" spans="2:19">
      <c r="B50">
        <v>50</v>
      </c>
      <c r="C50">
        <v>2.08</v>
      </c>
      <c r="D50">
        <v>1.94</v>
      </c>
      <c r="E50" s="3">
        <v>1.715</v>
      </c>
      <c r="J50" s="3">
        <v>2.1</v>
      </c>
      <c r="K50">
        <v>32</v>
      </c>
      <c r="L50">
        <v>7</v>
      </c>
      <c r="M50">
        <v>52</v>
      </c>
      <c r="N50">
        <v>17</v>
      </c>
      <c r="O50">
        <v>193.7</v>
      </c>
      <c r="Q50">
        <v>13.5</v>
      </c>
      <c r="R50">
        <v>223</v>
      </c>
      <c r="S50">
        <v>116.8</v>
      </c>
    </row>
    <row r="51" spans="2:19">
      <c r="B51">
        <v>55</v>
      </c>
      <c r="C51">
        <v>2.14</v>
      </c>
      <c r="D51">
        <v>2.01</v>
      </c>
      <c r="E51" s="2">
        <v>1.735</v>
      </c>
      <c r="J51" s="2">
        <v>2.2</v>
      </c>
      <c r="K51">
        <v>29.5</v>
      </c>
      <c r="L51">
        <v>7</v>
      </c>
      <c r="M51">
        <v>42</v>
      </c>
      <c r="N51">
        <v>15</v>
      </c>
      <c r="O51">
        <v>188.1</v>
      </c>
      <c r="Q51">
        <v>12.9</v>
      </c>
      <c r="R51">
        <v>216.5</v>
      </c>
      <c r="S51">
        <v>116.2</v>
      </c>
    </row>
    <row r="52" spans="2:19">
      <c r="B52">
        <v>60</v>
      </c>
      <c r="C52">
        <v>2.2</v>
      </c>
      <c r="D52">
        <v>2.07</v>
      </c>
      <c r="E52" s="3">
        <v>1.775</v>
      </c>
      <c r="J52" s="3">
        <v>2.3</v>
      </c>
      <c r="N52">
        <v>14</v>
      </c>
    </row>
    <row r="53" spans="2:19">
      <c r="B53">
        <v>65</v>
      </c>
      <c r="C53">
        <v>2.29</v>
      </c>
      <c r="D53">
        <v>2.135</v>
      </c>
      <c r="E53" s="2">
        <v>1.815</v>
      </c>
      <c r="J53" s="2">
        <v>2.4</v>
      </c>
      <c r="K53">
        <v>27.5</v>
      </c>
      <c r="L53">
        <v>6.5</v>
      </c>
      <c r="M53">
        <v>36</v>
      </c>
      <c r="N53">
        <v>14</v>
      </c>
      <c r="O53">
        <v>170.4</v>
      </c>
      <c r="Q53">
        <v>14.1</v>
      </c>
      <c r="R53">
        <v>201</v>
      </c>
      <c r="S53">
        <v>118.7</v>
      </c>
    </row>
    <row r="54" spans="2:19">
      <c r="B54">
        <v>70</v>
      </c>
      <c r="C54">
        <v>2.37</v>
      </c>
      <c r="D54">
        <v>2.195</v>
      </c>
      <c r="E54" s="3">
        <v>1.855</v>
      </c>
      <c r="J54" s="3">
        <v>2.5</v>
      </c>
    </row>
    <row r="55" spans="2:19">
      <c r="B55">
        <v>75</v>
      </c>
      <c r="C55">
        <v>2.43</v>
      </c>
      <c r="D55">
        <v>2.25</v>
      </c>
      <c r="E55" s="2">
        <v>1.9</v>
      </c>
      <c r="J55" s="2">
        <v>2.6</v>
      </c>
      <c r="K55">
        <v>25.5</v>
      </c>
      <c r="L55">
        <v>5.5</v>
      </c>
      <c r="M55">
        <v>30</v>
      </c>
      <c r="N55">
        <v>14</v>
      </c>
      <c r="O55">
        <v>162.7</v>
      </c>
      <c r="Q55">
        <v>13.8</v>
      </c>
      <c r="R55">
        <v>194</v>
      </c>
      <c r="S55">
        <v>118.6</v>
      </c>
    </row>
    <row r="56" spans="2:19">
      <c r="B56">
        <v>80</v>
      </c>
      <c r="C56">
        <v>2.49</v>
      </c>
      <c r="D56">
        <v>2.3</v>
      </c>
      <c r="E56" s="3">
        <v>1.93</v>
      </c>
      <c r="J56" s="3">
        <v>2.7</v>
      </c>
    </row>
    <row r="57" spans="2:19">
      <c r="B57">
        <v>85</v>
      </c>
      <c r="C57">
        <v>2.55</v>
      </c>
      <c r="D57">
        <v>2.365</v>
      </c>
      <c r="E57" s="2">
        <v>1.96</v>
      </c>
      <c r="J57" s="2">
        <v>2.8</v>
      </c>
      <c r="K57">
        <v>22.5</v>
      </c>
      <c r="L57">
        <v>7.5</v>
      </c>
      <c r="M57" s="4">
        <v>24</v>
      </c>
      <c r="N57" s="4">
        <v>14</v>
      </c>
      <c r="O57">
        <v>151.5</v>
      </c>
      <c r="Q57">
        <v>16</v>
      </c>
      <c r="R57">
        <v>184.5</v>
      </c>
      <c r="S57">
        <v>118.5</v>
      </c>
    </row>
    <row r="58" spans="2:19">
      <c r="B58">
        <v>90</v>
      </c>
      <c r="C58">
        <v>2.63</v>
      </c>
      <c r="D58">
        <v>2.43</v>
      </c>
      <c r="E58" s="3">
        <v>1.99</v>
      </c>
      <c r="J58" s="3">
        <v>2.9</v>
      </c>
    </row>
    <row r="59" spans="2:19">
      <c r="B59">
        <v>95</v>
      </c>
      <c r="C59" s="8">
        <v>2.7</v>
      </c>
      <c r="D59" s="2">
        <v>2.48</v>
      </c>
      <c r="E59">
        <v>2.02</v>
      </c>
      <c r="J59" s="2">
        <v>3</v>
      </c>
      <c r="K59">
        <v>21.5</v>
      </c>
      <c r="L59">
        <v>7.5</v>
      </c>
      <c r="M59">
        <v>20</v>
      </c>
      <c r="N59">
        <v>14</v>
      </c>
      <c r="O59">
        <v>147.6</v>
      </c>
      <c r="Q59">
        <v>17.4</v>
      </c>
      <c r="R59">
        <v>180.5</v>
      </c>
      <c r="S59">
        <v>119.1</v>
      </c>
    </row>
    <row r="60" spans="2:19">
      <c r="B60">
        <v>100</v>
      </c>
      <c r="C60">
        <v>2.77</v>
      </c>
      <c r="D60">
        <v>2.53</v>
      </c>
      <c r="E60" s="3">
        <v>2.05</v>
      </c>
      <c r="J60" s="3">
        <v>3.1</v>
      </c>
    </row>
    <row r="61" spans="2:19">
      <c r="B61">
        <v>105</v>
      </c>
      <c r="C61">
        <v>2.84</v>
      </c>
      <c r="D61">
        <v>2.58</v>
      </c>
      <c r="E61" s="9">
        <v>2.08</v>
      </c>
      <c r="J61" s="2">
        <v>3.2</v>
      </c>
      <c r="K61">
        <v>20.5</v>
      </c>
      <c r="L61">
        <v>6</v>
      </c>
      <c r="M61">
        <v>18</v>
      </c>
      <c r="N61">
        <v>14</v>
      </c>
      <c r="O61">
        <v>143.5</v>
      </c>
      <c r="Q61">
        <v>15</v>
      </c>
      <c r="R61">
        <v>177</v>
      </c>
      <c r="S61">
        <v>120.2</v>
      </c>
    </row>
    <row r="62" spans="2:19">
      <c r="B62">
        <v>110</v>
      </c>
      <c r="C62">
        <v>2.89</v>
      </c>
      <c r="D62">
        <v>2.63</v>
      </c>
      <c r="E62" s="3">
        <v>2.11</v>
      </c>
      <c r="J62" s="3">
        <v>3.3</v>
      </c>
    </row>
    <row r="63" spans="2:19">
      <c r="B63">
        <v>115</v>
      </c>
      <c r="C63">
        <v>2.96</v>
      </c>
      <c r="D63">
        <v>2.68</v>
      </c>
      <c r="E63" s="2">
        <v>2.145</v>
      </c>
      <c r="J63" s="2">
        <v>3.4</v>
      </c>
      <c r="K63">
        <v>18.5</v>
      </c>
      <c r="L63">
        <v>8.5</v>
      </c>
      <c r="M63">
        <v>16</v>
      </c>
      <c r="N63">
        <v>11</v>
      </c>
      <c r="O63">
        <v>140.3</v>
      </c>
      <c r="Q63">
        <v>15.3</v>
      </c>
      <c r="R63">
        <v>173.5</v>
      </c>
      <c r="S63">
        <v>120.2</v>
      </c>
    </row>
    <row r="64" spans="2:19">
      <c r="B64">
        <v>120</v>
      </c>
      <c r="C64">
        <v>3.03</v>
      </c>
      <c r="D64">
        <v>2.73</v>
      </c>
      <c r="E64" s="3">
        <v>2.18</v>
      </c>
      <c r="J64" s="3">
        <v>3.5</v>
      </c>
    </row>
    <row r="65" spans="2:19">
      <c r="B65">
        <v>125</v>
      </c>
      <c r="C65">
        <v>3.08</v>
      </c>
      <c r="D65">
        <v>2.78</v>
      </c>
      <c r="E65" s="2">
        <v>2.215</v>
      </c>
      <c r="J65" s="2">
        <v>3.6</v>
      </c>
      <c r="K65">
        <v>18</v>
      </c>
      <c r="L65">
        <v>7</v>
      </c>
      <c r="M65">
        <v>14</v>
      </c>
      <c r="N65">
        <v>11</v>
      </c>
      <c r="O65">
        <v>139.3</v>
      </c>
      <c r="Q65">
        <v>13.2</v>
      </c>
      <c r="R65">
        <v>172</v>
      </c>
      <c r="S65">
        <v>120.4</v>
      </c>
    </row>
    <row r="66" spans="2:19">
      <c r="B66">
        <v>130</v>
      </c>
      <c r="C66">
        <v>3.13</v>
      </c>
      <c r="D66">
        <v>2.83</v>
      </c>
      <c r="E66" s="3">
        <v>2.25</v>
      </c>
      <c r="J66" s="3">
        <v>3.7</v>
      </c>
    </row>
    <row r="67" spans="2:19">
      <c r="B67">
        <v>135</v>
      </c>
      <c r="C67">
        <v>3.19</v>
      </c>
      <c r="D67">
        <v>2.89</v>
      </c>
      <c r="E67" s="2">
        <v>2.29</v>
      </c>
      <c r="J67" s="2">
        <v>3.8</v>
      </c>
      <c r="K67">
        <v>17.5</v>
      </c>
      <c r="L67">
        <v>7</v>
      </c>
      <c r="M67">
        <v>12</v>
      </c>
      <c r="N67">
        <v>11</v>
      </c>
      <c r="O67">
        <v>133.9</v>
      </c>
      <c r="Q67">
        <v>13.1</v>
      </c>
      <c r="R67">
        <v>170</v>
      </c>
      <c r="S67">
        <v>121.5</v>
      </c>
    </row>
    <row r="68" spans="2:19">
      <c r="B68">
        <v>140</v>
      </c>
      <c r="C68">
        <v>3.25</v>
      </c>
      <c r="D68">
        <v>2.95</v>
      </c>
      <c r="E68">
        <v>2.32</v>
      </c>
      <c r="J68" s="3">
        <v>3.9</v>
      </c>
    </row>
    <row r="69" spans="2:19">
      <c r="B69">
        <v>145</v>
      </c>
      <c r="C69">
        <v>3.32</v>
      </c>
      <c r="D69" s="8">
        <v>3</v>
      </c>
      <c r="E69">
        <v>2.35</v>
      </c>
      <c r="J69" s="2">
        <v>4</v>
      </c>
      <c r="K69">
        <v>16.5</v>
      </c>
      <c r="L69">
        <v>7</v>
      </c>
      <c r="M69">
        <v>12</v>
      </c>
      <c r="N69">
        <v>11</v>
      </c>
      <c r="O69">
        <v>131.5</v>
      </c>
      <c r="Q69">
        <v>14.5</v>
      </c>
      <c r="R69">
        <v>167.5</v>
      </c>
      <c r="S69">
        <v>121.9</v>
      </c>
    </row>
    <row r="70" spans="2:19">
      <c r="B70">
        <v>150</v>
      </c>
      <c r="C70">
        <v>3.39</v>
      </c>
      <c r="D70">
        <v>3.06</v>
      </c>
      <c r="E70">
        <v>2.38</v>
      </c>
    </row>
    <row r="71" spans="2:19">
      <c r="B71">
        <v>155</v>
      </c>
      <c r="C71">
        <v>3.46</v>
      </c>
      <c r="D71">
        <v>3.12</v>
      </c>
      <c r="E71">
        <v>2.41</v>
      </c>
    </row>
    <row r="72" spans="2:19">
      <c r="B72">
        <v>160</v>
      </c>
      <c r="C72">
        <v>3.53</v>
      </c>
      <c r="D72">
        <v>3.18</v>
      </c>
      <c r="E72">
        <v>2.44</v>
      </c>
    </row>
    <row r="73" spans="2:19">
      <c r="B73">
        <v>165</v>
      </c>
      <c r="C73" s="8">
        <v>3.6</v>
      </c>
      <c r="D73">
        <v>3.22</v>
      </c>
      <c r="E73">
        <v>2.47</v>
      </c>
      <c r="J73">
        <v>1.6</v>
      </c>
      <c r="L73">
        <v>1.265</v>
      </c>
    </row>
    <row r="74" spans="2:19">
      <c r="B74">
        <v>170</v>
      </c>
      <c r="C74">
        <v>3.66</v>
      </c>
      <c r="D74">
        <v>3.26</v>
      </c>
      <c r="E74">
        <v>2.51</v>
      </c>
      <c r="L74">
        <v>1.3</v>
      </c>
    </row>
    <row r="75" spans="2:19">
      <c r="B75">
        <v>175</v>
      </c>
      <c r="C75">
        <v>3.72</v>
      </c>
      <c r="D75">
        <v>3.32</v>
      </c>
      <c r="E75">
        <v>2.55</v>
      </c>
      <c r="L75" s="2">
        <v>1.4</v>
      </c>
    </row>
    <row r="76" spans="2:19">
      <c r="B76">
        <v>180</v>
      </c>
      <c r="C76">
        <v>3.78</v>
      </c>
      <c r="D76">
        <v>3.375</v>
      </c>
      <c r="E76">
        <v>2.58</v>
      </c>
      <c r="L76" s="3">
        <v>1.5</v>
      </c>
      <c r="M76">
        <v>240</v>
      </c>
    </row>
    <row r="77" spans="2:19">
      <c r="B77">
        <v>185</v>
      </c>
      <c r="C77">
        <v>3.84</v>
      </c>
      <c r="D77">
        <v>3.43</v>
      </c>
      <c r="E77">
        <v>2.61</v>
      </c>
      <c r="K77">
        <v>120</v>
      </c>
      <c r="L77" s="2">
        <v>1.6</v>
      </c>
      <c r="M77">
        <v>160</v>
      </c>
    </row>
    <row r="78" spans="2:19">
      <c r="B78">
        <v>190</v>
      </c>
      <c r="C78" s="8">
        <v>3.89</v>
      </c>
      <c r="D78">
        <v>3.48</v>
      </c>
      <c r="E78">
        <v>2.64</v>
      </c>
      <c r="K78">
        <v>50</v>
      </c>
      <c r="L78" s="3">
        <v>1.7</v>
      </c>
      <c r="M78">
        <v>110</v>
      </c>
      <c r="N78">
        <v>25</v>
      </c>
    </row>
    <row r="79" spans="2:19">
      <c r="B79">
        <v>195</v>
      </c>
      <c r="C79">
        <v>3.95</v>
      </c>
      <c r="D79">
        <v>3.53</v>
      </c>
      <c r="E79">
        <v>2.67</v>
      </c>
      <c r="K79">
        <v>28</v>
      </c>
      <c r="L79" s="2">
        <v>1.8</v>
      </c>
      <c r="M79">
        <v>80</v>
      </c>
      <c r="N79">
        <v>23</v>
      </c>
    </row>
    <row r="80" spans="2:19">
      <c r="B80">
        <v>200</v>
      </c>
      <c r="C80">
        <v>4.01</v>
      </c>
      <c r="D80">
        <v>3.58</v>
      </c>
      <c r="E80">
        <v>2.71</v>
      </c>
      <c r="K80">
        <v>20</v>
      </c>
      <c r="L80" s="3">
        <v>1.9</v>
      </c>
      <c r="M80">
        <v>70</v>
      </c>
      <c r="N80">
        <v>20</v>
      </c>
    </row>
    <row r="81" spans="11:14">
      <c r="K81">
        <v>10</v>
      </c>
      <c r="L81" s="2">
        <v>2</v>
      </c>
      <c r="M81" s="4">
        <v>60</v>
      </c>
      <c r="N81">
        <v>18</v>
      </c>
    </row>
    <row r="82" spans="11:14">
      <c r="K82">
        <v>8</v>
      </c>
      <c r="L82" s="3">
        <v>2.1</v>
      </c>
      <c r="M82" s="4">
        <v>52</v>
      </c>
      <c r="N82">
        <v>16</v>
      </c>
    </row>
    <row r="83" spans="11:14">
      <c r="K83" s="1"/>
      <c r="L83" s="2">
        <v>2.2</v>
      </c>
      <c r="M83">
        <v>45</v>
      </c>
      <c r="N83">
        <v>14</v>
      </c>
    </row>
    <row r="84" spans="11:14">
      <c r="L84" s="3">
        <v>2.3</v>
      </c>
      <c r="M84" s="4">
        <v>39</v>
      </c>
      <c r="N84">
        <v>14</v>
      </c>
    </row>
    <row r="85" spans="11:14">
      <c r="K85" s="1">
        <v>3</v>
      </c>
      <c r="L85" s="2">
        <v>2.4</v>
      </c>
      <c r="M85">
        <v>36</v>
      </c>
      <c r="N85">
        <v>14</v>
      </c>
    </row>
    <row r="86" spans="11:14">
      <c r="L86" s="3">
        <v>2.5</v>
      </c>
      <c r="M86" s="4">
        <v>33</v>
      </c>
    </row>
    <row r="87" spans="11:14">
      <c r="L87" s="2">
        <v>2.6</v>
      </c>
      <c r="M87">
        <v>30</v>
      </c>
      <c r="N87">
        <v>14</v>
      </c>
    </row>
    <row r="88" spans="11:14">
      <c r="L88" s="3">
        <v>2.7</v>
      </c>
      <c r="M88" s="4">
        <v>27</v>
      </c>
    </row>
    <row r="89" spans="11:14">
      <c r="L89" s="2">
        <v>2.8</v>
      </c>
      <c r="M89" s="4">
        <v>24</v>
      </c>
      <c r="N89" s="4">
        <v>14</v>
      </c>
    </row>
    <row r="90" spans="11:14">
      <c r="K90" s="1"/>
      <c r="L90" s="3">
        <v>2.9</v>
      </c>
      <c r="M90" s="4">
        <v>21</v>
      </c>
    </row>
    <row r="91" spans="11:14">
      <c r="L91" s="2">
        <v>3</v>
      </c>
      <c r="M91">
        <v>20</v>
      </c>
      <c r="N91">
        <v>11</v>
      </c>
    </row>
    <row r="92" spans="11:14">
      <c r="L92" s="3">
        <v>3.1</v>
      </c>
      <c r="M92" s="4">
        <v>19</v>
      </c>
    </row>
    <row r="93" spans="11:14">
      <c r="L93" s="2">
        <v>3.2</v>
      </c>
      <c r="M93">
        <v>18</v>
      </c>
      <c r="N93">
        <v>11</v>
      </c>
    </row>
    <row r="94" spans="11:14">
      <c r="L94" s="3">
        <v>3.3</v>
      </c>
      <c r="M94" s="4">
        <v>17</v>
      </c>
    </row>
    <row r="95" spans="11:14">
      <c r="L95" s="2">
        <v>3.4</v>
      </c>
      <c r="M95">
        <v>16</v>
      </c>
      <c r="N95">
        <v>11</v>
      </c>
    </row>
    <row r="96" spans="11:14">
      <c r="L96" s="3">
        <v>3.5</v>
      </c>
      <c r="M96" s="4">
        <v>15</v>
      </c>
    </row>
    <row r="97" spans="10:14">
      <c r="L97" s="2">
        <v>3.6</v>
      </c>
      <c r="M97">
        <v>14</v>
      </c>
      <c r="N97">
        <v>11</v>
      </c>
    </row>
    <row r="98" spans="10:14">
      <c r="L98" s="3">
        <v>3.7</v>
      </c>
      <c r="M98" s="4">
        <v>13</v>
      </c>
    </row>
    <row r="99" spans="10:14">
      <c r="K99">
        <v>1</v>
      </c>
      <c r="L99" s="2">
        <v>3.8</v>
      </c>
      <c r="M99">
        <v>12</v>
      </c>
      <c r="N99">
        <v>11</v>
      </c>
    </row>
    <row r="100" spans="10:14">
      <c r="L100" s="3">
        <v>3.9</v>
      </c>
    </row>
    <row r="101" spans="10:14">
      <c r="J101">
        <v>16</v>
      </c>
      <c r="L101" s="2">
        <v>4</v>
      </c>
      <c r="M101">
        <v>10</v>
      </c>
      <c r="N101">
        <v>11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Sheet1</vt:lpstr>
      <vt:lpstr>脉宽对能量的影响</vt:lpstr>
      <vt:lpstr>Sheet2</vt:lpstr>
      <vt:lpstr>温度对能量输出影响</vt:lpstr>
      <vt:lpstr>dac电流对导通时间影响</vt:lpstr>
      <vt:lpstr>光脉冲冲放电时间</vt:lpstr>
      <vt:lpstr>脉宽与能量</vt:lpstr>
      <vt:lpstr>脉宽与电压</vt:lpstr>
      <vt:lpstr>dac电压与能量</vt:lpstr>
      <vt:lpstr>能量与dac电压</vt:lpstr>
      <vt:lpstr>20251127-有效数据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胡奇林</cp:lastModifiedBy>
  <dcterms:created xsi:type="dcterms:W3CDTF">2016-12-02T08:54:00Z</dcterms:created>
  <dcterms:modified xsi:type="dcterms:W3CDTF">2025-11-27T14:29:13Z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A29802E2B41742B580A76F5954EBFACD_13</vt:lpwstr>
  </property>
</Properties>
</file>